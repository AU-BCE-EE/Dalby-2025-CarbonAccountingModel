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222" documentId="13_ncr:1_{8D7ACF61-F90E-466D-9FF8-9D76AE1815CE}" xr6:coauthVersionLast="47" xr6:coauthVersionMax="47" xr10:uidLastSave="{62E3E97F-8FF7-443F-A150-25D077621CEB}"/>
  <bookViews>
    <workbookView xWindow="-120" yWindow="-120" windowWidth="29040" windowHeight="1572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5" i="11" l="1"/>
  <c r="C89" i="11" s="1"/>
  <c r="C37" i="11"/>
  <c r="C61" i="11" s="1"/>
  <c r="E55" i="16"/>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D61" i="14"/>
  <c r="AE61" i="14" s="1"/>
  <c r="AD44" i="14"/>
  <c r="AD27" i="14"/>
  <c r="AD14" i="14"/>
  <c r="AD13" i="14"/>
  <c r="AD12" i="14"/>
  <c r="AD11" i="14"/>
  <c r="AD10" i="14"/>
  <c r="AD41" i="14" s="1"/>
  <c r="AD9" i="14"/>
  <c r="AD84" i="14" s="1"/>
  <c r="AA73" i="14"/>
  <c r="AA71" i="14"/>
  <c r="AA70" i="14"/>
  <c r="AA69" i="14"/>
  <c r="AA68" i="14"/>
  <c r="AA67" i="14"/>
  <c r="AA66" i="14"/>
  <c r="AA65" i="14"/>
  <c r="AA64" i="14"/>
  <c r="AA61" i="14"/>
  <c r="AB61" i="14" s="1"/>
  <c r="AA44" i="14"/>
  <c r="AA27" i="14"/>
  <c r="AA23" i="14"/>
  <c r="AA14" i="14"/>
  <c r="AA13" i="14"/>
  <c r="AA12" i="14"/>
  <c r="AA11" i="14"/>
  <c r="AA10" i="14"/>
  <c r="AA41" i="14" s="1"/>
  <c r="AA9" i="14"/>
  <c r="AA88" i="14" s="1"/>
  <c r="X73" i="14"/>
  <c r="X71" i="14"/>
  <c r="X70" i="14"/>
  <c r="X69" i="14"/>
  <c r="X68" i="14"/>
  <c r="X67" i="14"/>
  <c r="X66" i="14"/>
  <c r="X65" i="14"/>
  <c r="X64" i="14"/>
  <c r="X61" i="14"/>
  <c r="Y61" i="14" s="1"/>
  <c r="X44" i="14"/>
  <c r="X27" i="14"/>
  <c r="X14" i="14"/>
  <c r="X13" i="14"/>
  <c r="X12" i="14"/>
  <c r="X11" i="14"/>
  <c r="X10" i="14"/>
  <c r="X41" i="14" s="1"/>
  <c r="X9" i="14"/>
  <c r="X84" i="14" s="1"/>
  <c r="U73" i="14"/>
  <c r="U71" i="14"/>
  <c r="U70" i="14"/>
  <c r="U69" i="14"/>
  <c r="U68" i="14"/>
  <c r="U67" i="14"/>
  <c r="U66" i="14"/>
  <c r="U65" i="14"/>
  <c r="U64" i="14"/>
  <c r="U61" i="14"/>
  <c r="V61" i="14" s="1"/>
  <c r="U44" i="14"/>
  <c r="U27" i="14"/>
  <c r="U14" i="14"/>
  <c r="U13" i="14"/>
  <c r="U12" i="14"/>
  <c r="U11" i="14"/>
  <c r="U10" i="14"/>
  <c r="U41" i="14" s="1"/>
  <c r="U9" i="14"/>
  <c r="U88" i="14" s="1"/>
  <c r="R73" i="14"/>
  <c r="R71" i="14"/>
  <c r="R70" i="14"/>
  <c r="R69" i="14"/>
  <c r="R68" i="14"/>
  <c r="R67" i="14"/>
  <c r="R66" i="14"/>
  <c r="R65" i="14"/>
  <c r="R64" i="14"/>
  <c r="R61" i="14"/>
  <c r="S61" i="14" s="1"/>
  <c r="R44" i="14"/>
  <c r="R27" i="14"/>
  <c r="R14" i="14"/>
  <c r="R13" i="14"/>
  <c r="R12" i="14"/>
  <c r="R11" i="14"/>
  <c r="R10" i="14"/>
  <c r="R9" i="14"/>
  <c r="R84" i="14" s="1"/>
  <c r="O73" i="14"/>
  <c r="O71" i="14"/>
  <c r="O70" i="14"/>
  <c r="O69" i="14"/>
  <c r="O68" i="14"/>
  <c r="O67" i="14"/>
  <c r="O66" i="14"/>
  <c r="O65" i="14"/>
  <c r="O64" i="14"/>
  <c r="O61" i="14"/>
  <c r="P61" i="14" s="1"/>
  <c r="O44" i="14"/>
  <c r="O27" i="14"/>
  <c r="O14" i="14"/>
  <c r="O13" i="14"/>
  <c r="O12" i="14"/>
  <c r="O24" i="14" s="1"/>
  <c r="O11" i="14"/>
  <c r="O10" i="14"/>
  <c r="O9" i="14"/>
  <c r="O87" i="14" s="1"/>
  <c r="L73" i="14"/>
  <c r="L71" i="14"/>
  <c r="L70" i="14"/>
  <c r="L69" i="14"/>
  <c r="L68" i="14"/>
  <c r="L67" i="14"/>
  <c r="L66" i="14"/>
  <c r="L65" i="14"/>
  <c r="L64" i="14"/>
  <c r="L61" i="14"/>
  <c r="M61" i="14" s="1"/>
  <c r="L44" i="14"/>
  <c r="L43" i="14"/>
  <c r="L27" i="14"/>
  <c r="L14" i="14"/>
  <c r="L13" i="14"/>
  <c r="L12" i="14"/>
  <c r="L11" i="14"/>
  <c r="L10" i="14"/>
  <c r="L41" i="14" s="1"/>
  <c r="L9" i="14"/>
  <c r="L87" i="14" s="1"/>
  <c r="I73" i="14"/>
  <c r="I71" i="14"/>
  <c r="I70" i="14"/>
  <c r="I69" i="14"/>
  <c r="I68" i="14"/>
  <c r="I67" i="14"/>
  <c r="I66" i="14"/>
  <c r="I65" i="14"/>
  <c r="I64" i="14"/>
  <c r="I61" i="14"/>
  <c r="J61" i="14" s="1"/>
  <c r="I44" i="14"/>
  <c r="I27" i="14"/>
  <c r="I14" i="14"/>
  <c r="I13" i="14"/>
  <c r="I12" i="14"/>
  <c r="I11" i="14"/>
  <c r="I10" i="14"/>
  <c r="I9" i="14"/>
  <c r="I84" i="14" s="1"/>
  <c r="F73" i="14"/>
  <c r="F71" i="14"/>
  <c r="F70" i="14"/>
  <c r="F69" i="14"/>
  <c r="F68" i="14"/>
  <c r="F67" i="14"/>
  <c r="F66" i="14"/>
  <c r="F65" i="14"/>
  <c r="F64" i="14"/>
  <c r="F61" i="14"/>
  <c r="G61" i="14" s="1"/>
  <c r="F44" i="14"/>
  <c r="F27" i="14"/>
  <c r="F14" i="14"/>
  <c r="F13" i="14"/>
  <c r="F12" i="14"/>
  <c r="F89" i="14" s="1"/>
  <c r="F11" i="14"/>
  <c r="F10" i="14"/>
  <c r="F41" i="14" s="1"/>
  <c r="F9" i="14"/>
  <c r="C186" i="16"/>
  <c r="C14" i="14"/>
  <c r="C13" i="14"/>
  <c r="C12" i="14"/>
  <c r="C10" i="14"/>
  <c r="C9" i="14"/>
  <c r="C82" i="14" s="1"/>
  <c r="C71" i="14"/>
  <c r="C68" i="14"/>
  <c r="C66" i="14"/>
  <c r="C64" i="14"/>
  <c r="C27" i="14"/>
  <c r="C34" i="11"/>
  <c r="C32" i="11"/>
  <c r="C26" i="11"/>
  <c r="C24" i="11"/>
  <c r="C22" i="11"/>
  <c r="C33" i="11"/>
  <c r="C31" i="11"/>
  <c r="C29" i="11"/>
  <c r="C28" i="11"/>
  <c r="C25" i="11"/>
  <c r="C23" i="11"/>
  <c r="C21" i="11"/>
  <c r="C20" i="11"/>
  <c r="C15" i="11"/>
  <c r="C14" i="11"/>
  <c r="C10" i="11"/>
  <c r="C9" i="11"/>
  <c r="C65" i="14"/>
  <c r="C69" i="14"/>
  <c r="C70" i="14"/>
  <c r="F37" i="14" l="1"/>
  <c r="C83" i="11"/>
  <c r="C67" i="11"/>
  <c r="C69" i="11"/>
  <c r="C71" i="11"/>
  <c r="C75" i="11"/>
  <c r="C87" i="11"/>
  <c r="C79" i="11"/>
  <c r="C77" i="11"/>
  <c r="C81" i="11"/>
  <c r="C42" i="14"/>
  <c r="L74" i="14"/>
  <c r="R89" i="14"/>
  <c r="X87" i="14"/>
  <c r="F17" i="14"/>
  <c r="F18" i="14" s="1"/>
  <c r="F19" i="14"/>
  <c r="O38" i="14"/>
  <c r="AD89" i="14"/>
  <c r="I74" i="14"/>
  <c r="I87" i="14"/>
  <c r="I88" i="14"/>
  <c r="L29" i="14"/>
  <c r="X21" i="14"/>
  <c r="AA40" i="14"/>
  <c r="O81" i="14"/>
  <c r="X37" i="14"/>
  <c r="AD29" i="14"/>
  <c r="O21" i="14"/>
  <c r="O40" i="14"/>
  <c r="U21" i="14"/>
  <c r="AD43" i="14"/>
  <c r="R83" i="14"/>
  <c r="X74" i="14"/>
  <c r="U97" i="11"/>
  <c r="O17" i="14"/>
  <c r="O18" i="14" s="1"/>
  <c r="O23" i="14"/>
  <c r="R87" i="14"/>
  <c r="X83" i="14"/>
  <c r="O25" i="14"/>
  <c r="O26" i="14"/>
  <c r="O74" i="14"/>
  <c r="X35" i="14"/>
  <c r="X88" i="14"/>
  <c r="F29" i="14"/>
  <c r="I83" i="14"/>
  <c r="L89" i="14"/>
  <c r="O41" i="14"/>
  <c r="O88" i="14"/>
  <c r="R74" i="14"/>
  <c r="U43" i="14"/>
  <c r="W36" i="14"/>
  <c r="X81" i="14"/>
  <c r="AA24" i="14"/>
  <c r="L97" i="11"/>
  <c r="R97" i="11"/>
  <c r="X97" i="11"/>
  <c r="R29" i="14"/>
  <c r="U89" i="14"/>
  <c r="F20" i="14"/>
  <c r="I37" i="14"/>
  <c r="O30" i="14"/>
  <c r="O31" i="14" s="1"/>
  <c r="R37" i="14"/>
  <c r="R88" i="14"/>
  <c r="X89" i="14"/>
  <c r="X43" i="14"/>
  <c r="AA29" i="14"/>
  <c r="AA28" i="14"/>
  <c r="AD35" i="14"/>
  <c r="AD74" i="14"/>
  <c r="AA25" i="14"/>
  <c r="L35" i="14"/>
  <c r="AA17" i="14"/>
  <c r="AA18" i="14" s="1"/>
  <c r="AA35" i="14"/>
  <c r="AD87" i="14"/>
  <c r="I97" i="11"/>
  <c r="O43" i="14"/>
  <c r="F25" i="14"/>
  <c r="O35" i="14"/>
  <c r="L88" i="14"/>
  <c r="O29" i="14"/>
  <c r="N36" i="14"/>
  <c r="U87" i="14"/>
  <c r="X29" i="14"/>
  <c r="AA19" i="14"/>
  <c r="AD88" i="14"/>
  <c r="O97" i="11"/>
  <c r="AA97" i="11"/>
  <c r="AD97" i="11"/>
  <c r="I29" i="14"/>
  <c r="O89" i="14"/>
  <c r="AA89" i="14"/>
  <c r="F28" i="14"/>
  <c r="U35" i="14"/>
  <c r="AA20" i="14"/>
  <c r="AA43" i="14"/>
  <c r="F97" i="11"/>
  <c r="C89" i="14"/>
  <c r="C41" i="14"/>
  <c r="I89" i="14"/>
  <c r="C81" i="14"/>
  <c r="C74"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1" i="14"/>
  <c r="AD17" i="14"/>
  <c r="AD18" i="14" s="1"/>
  <c r="AD22" i="14"/>
  <c r="AD19" i="14"/>
  <c r="AC46" i="14"/>
  <c r="AD82" i="14"/>
  <c r="AD20" i="14"/>
  <c r="AD28" i="14"/>
  <c r="AD37" i="14"/>
  <c r="AD83" i="14"/>
  <c r="AD24" i="14"/>
  <c r="AD25" i="14"/>
  <c r="AD21" i="14"/>
  <c r="AD38" i="14"/>
  <c r="AD40" i="14"/>
  <c r="AA26" i="14"/>
  <c r="Z36" i="14"/>
  <c r="AA81" i="14"/>
  <c r="AA82" i="14"/>
  <c r="AA37" i="14"/>
  <c r="AA83" i="14"/>
  <c r="AA21" i="14"/>
  <c r="AA38" i="14"/>
  <c r="AA84" i="14"/>
  <c r="Z46" i="14"/>
  <c r="AA22" i="14"/>
  <c r="AA30" i="14"/>
  <c r="AA31" i="14" s="1"/>
  <c r="AA87" i="14"/>
  <c r="AA74" i="14"/>
  <c r="X30" i="14"/>
  <c r="X31" i="14" s="1"/>
  <c r="X19" i="14"/>
  <c r="W46" i="14"/>
  <c r="X82" i="14"/>
  <c r="X40" i="14"/>
  <c r="X17" i="14"/>
  <c r="X18" i="14" s="1"/>
  <c r="X25" i="14"/>
  <c r="X26" i="14"/>
  <c r="X20" i="14"/>
  <c r="X28" i="14"/>
  <c r="X38" i="14"/>
  <c r="X22" i="14"/>
  <c r="X23" i="14"/>
  <c r="X24" i="14"/>
  <c r="U17" i="14"/>
  <c r="U18" i="14" s="1"/>
  <c r="U25" i="14"/>
  <c r="U26" i="14"/>
  <c r="T36" i="14"/>
  <c r="U81" i="14"/>
  <c r="U19" i="14"/>
  <c r="T46" i="14"/>
  <c r="U82" i="14"/>
  <c r="U20" i="14"/>
  <c r="U28" i="14"/>
  <c r="U37" i="14"/>
  <c r="U83" i="14"/>
  <c r="U29" i="14"/>
  <c r="U38" i="14"/>
  <c r="U84" i="14"/>
  <c r="U22" i="14"/>
  <c r="U30" i="14"/>
  <c r="U31" i="14" s="1"/>
  <c r="U23" i="14"/>
  <c r="U40" i="14"/>
  <c r="U74" i="14"/>
  <c r="U24" i="14"/>
  <c r="R25" i="14"/>
  <c r="R43" i="14"/>
  <c r="R26" i="14"/>
  <c r="Q36" i="14"/>
  <c r="R81" i="14"/>
  <c r="R24" i="14"/>
  <c r="R41" i="14"/>
  <c r="R17" i="14"/>
  <c r="R18" i="14" s="1"/>
  <c r="R35" i="14"/>
  <c r="R19" i="14"/>
  <c r="Q46" i="14"/>
  <c r="R82" i="14"/>
  <c r="R22" i="14"/>
  <c r="R20" i="14"/>
  <c r="R28" i="14"/>
  <c r="R21" i="14"/>
  <c r="R38" i="14"/>
  <c r="R30" i="14"/>
  <c r="R31" i="14" s="1"/>
  <c r="R23" i="14"/>
  <c r="R40" i="14"/>
  <c r="O19" i="14"/>
  <c r="N46" i="14"/>
  <c r="O82" i="14"/>
  <c r="O20" i="14"/>
  <c r="O28" i="14"/>
  <c r="O37" i="14"/>
  <c r="O83" i="14"/>
  <c r="O84" i="14"/>
  <c r="O22" i="14"/>
  <c r="L23" i="14"/>
  <c r="L26" i="14"/>
  <c r="K36" i="14"/>
  <c r="L81" i="14"/>
  <c r="L17" i="14"/>
  <c r="L18" i="14" s="1"/>
  <c r="K46" i="14"/>
  <c r="L82" i="14"/>
  <c r="L19" i="14"/>
  <c r="L20" i="14"/>
  <c r="L28" i="14"/>
  <c r="L37" i="14"/>
  <c r="L83" i="14"/>
  <c r="L40" i="14"/>
  <c r="L24" i="14"/>
  <c r="L25" i="14"/>
  <c r="L21" i="14"/>
  <c r="L38" i="14"/>
  <c r="L84" i="14"/>
  <c r="L22" i="14"/>
  <c r="L30" i="14"/>
  <c r="L31" i="14" s="1"/>
  <c r="I24" i="14"/>
  <c r="I17" i="14"/>
  <c r="I18" i="14" s="1"/>
  <c r="I43" i="14"/>
  <c r="I26" i="14"/>
  <c r="H36" i="14"/>
  <c r="I81" i="14"/>
  <c r="I41" i="14"/>
  <c r="I25" i="14"/>
  <c r="I35" i="14"/>
  <c r="I19" i="14"/>
  <c r="H46" i="14"/>
  <c r="I82" i="14"/>
  <c r="I23" i="14"/>
  <c r="I20" i="14"/>
  <c r="I28" i="14"/>
  <c r="I21" i="14"/>
  <c r="I38" i="14"/>
  <c r="I22" i="14"/>
  <c r="I30" i="14"/>
  <c r="I31" i="14" s="1"/>
  <c r="I40" i="14"/>
  <c r="F43" i="14"/>
  <c r="F35" i="14"/>
  <c r="F26" i="14"/>
  <c r="E36" i="14"/>
  <c r="F81" i="14"/>
  <c r="F83" i="14"/>
  <c r="F21" i="14"/>
  <c r="F38" i="14"/>
  <c r="F84" i="14"/>
  <c r="F22" i="14"/>
  <c r="F30" i="14"/>
  <c r="F31" i="14" s="1"/>
  <c r="F87" i="14"/>
  <c r="E46" i="14"/>
  <c r="F23" i="14"/>
  <c r="F40" i="14"/>
  <c r="F74" i="14"/>
  <c r="F88" i="14"/>
  <c r="F82" i="14"/>
  <c r="F24" i="14"/>
  <c r="C85" i="11"/>
  <c r="C73" i="11"/>
  <c r="C53" i="11"/>
  <c r="C47" i="11"/>
  <c r="C49" i="11"/>
  <c r="C51" i="11"/>
  <c r="C39" i="11"/>
  <c r="C55" i="11"/>
  <c r="C41" i="11"/>
  <c r="C57" i="11"/>
  <c r="C43" i="11"/>
  <c r="C59" i="11"/>
  <c r="C45" i="11"/>
  <c r="C29" i="14"/>
  <c r="C87" i="14"/>
  <c r="C88" i="14"/>
  <c r="C84" i="14"/>
  <c r="C83" i="14"/>
  <c r="C67"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AA36" i="14" l="1"/>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3" i="14"/>
  <c r="C31" i="14"/>
  <c r="C32" i="14" s="1"/>
  <c r="C6" i="14"/>
  <c r="B6" i="14"/>
  <c r="B6" i="11" l="1"/>
  <c r="C11" i="11" l="1"/>
</calcChain>
</file>

<file path=xl/sharedStrings.xml><?xml version="1.0" encoding="utf-8"?>
<sst xmlns="http://schemas.openxmlformats.org/spreadsheetml/2006/main" count="3081" uniqueCount="809">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</sst>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3"/>
      <c r="AH109" s="73"/>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abSelected="1" topLeftCell="A34" zoomScaleNormal="100" workbookViewId="0">
      <selection activeCell="A59" sqref="A59"/>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cattle</v>
      </c>
      <c r="G9" s="60" t="s">
        <v>127</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cattle, tung race</v>
      </c>
      <c r="G10" s="60" t="s">
        <v>59</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2000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28</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0</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15980</v>
      </c>
      <c r="D31" s="60"/>
      <c r="E31" s="12" t="s">
        <v>168</v>
      </c>
      <c r="F31" s="57">
        <f>F30*F11</f>
        <v>0</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12144.8</v>
      </c>
      <c r="D32" s="61"/>
      <c r="E32" s="12" t="s">
        <v>169</v>
      </c>
      <c r="F32" s="57">
        <f>F31*F29</f>
        <v>0</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365</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8480</v>
      </c>
      <c r="D36" s="60"/>
      <c r="E36" s="12" t="str">
        <f>IF(F9 = "pig","feed intake, kg animal-1","feed intake, kg DM animal-1 yr-1")</f>
        <v>feed intake, kg DM animal-1 yr-1</v>
      </c>
      <c r="F36" s="22">
        <f>IF(COUNT(G36)=1,G36,HLOOKUP('in-barn'!F10,defaults!$A$51:$AB$72,MATCH('in-barn'!E36,defaults!$A$51:$A$72,0),FALSE))</f>
        <v>8480</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11163</v>
      </c>
      <c r="D37" s="60"/>
      <c r="E37" s="12" t="s">
        <v>92</v>
      </c>
      <c r="F37" s="22">
        <f>IF(COUNT(G37)=1,G37,IF(F9="cattle",HLOOKUP(F10,defaults!$A$51:$AB$72,MATCH('in-barn'!E37,defaults!$A$51:$A$72,0),FALSE),0))</f>
        <v>11163</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40</v>
      </c>
      <c r="D38" s="60"/>
      <c r="E38" s="12" t="s">
        <v>93</v>
      </c>
      <c r="F38" s="22">
        <f>IF(COUNT(G38)=1,G38,IF(F9="cattle",HLOOKUP(F10,defaults!$A$51:$AB$72,MATCH('in-barn'!E38,defaults!$A$51:$A$72,0),FALSE),0))</f>
        <v>40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620</v>
      </c>
      <c r="D39" s="60"/>
      <c r="E39" s="12" t="s">
        <v>171</v>
      </c>
      <c r="F39" s="22">
        <f>IF(COUNT(G39)=1,G39,HLOOKUP(F10,defaults!$A51:$AB72,MATCH('in-barn'!E39,defaults!$A51:$A72,0),FALSE))</f>
        <v>620</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2</v>
      </c>
      <c r="D41" s="60"/>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0.54054054054054046</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(DM% of feed DM)</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21.1</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110</v>
      </c>
      <c r="C48" s="38">
        <v>12.1</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2:31" x14ac:dyDescent="0.25">
      <c r="B49" s="71" t="s">
        <v>457</v>
      </c>
      <c r="C49" s="38">
        <v>12.8</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2:31" x14ac:dyDescent="0.25">
      <c r="B50" s="35" t="s">
        <v>747</v>
      </c>
      <c r="C50" s="38">
        <v>5</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2:31" x14ac:dyDescent="0.25">
      <c r="B51" s="35" t="s">
        <v>807</v>
      </c>
      <c r="C51" s="38">
        <v>16</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2:31" x14ac:dyDescent="0.25">
      <c r="B52" s="35" t="s">
        <v>782</v>
      </c>
      <c r="C52" s="38">
        <v>7.7</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2:31" x14ac:dyDescent="0.25">
      <c r="B53" s="35" t="s">
        <v>808</v>
      </c>
      <c r="C53" s="38">
        <v>6.9</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2:31" x14ac:dyDescent="0.25">
      <c r="B54" s="35" t="s">
        <v>688</v>
      </c>
      <c r="C54" s="38">
        <v>10.6</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2:31" x14ac:dyDescent="0.25">
      <c r="B55" s="72" t="s">
        <v>730</v>
      </c>
      <c r="C55" s="38">
        <v>4.8</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2:31" x14ac:dyDescent="0.25">
      <c r="B56" s="72" t="s">
        <v>379</v>
      </c>
      <c r="C56" s="38">
        <v>1.3</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2:31" x14ac:dyDescent="0.25">
      <c r="B57" s="35" t="s">
        <v>667</v>
      </c>
      <c r="C57" s="38">
        <v>0.3</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2:31" x14ac:dyDescent="0.25">
      <c r="B58" s="35" t="s">
        <v>176</v>
      </c>
      <c r="C58" s="38">
        <v>0</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2:31" x14ac:dyDescent="0.25">
      <c r="B59" s="35" t="s">
        <v>177</v>
      </c>
      <c r="C59" s="38">
        <v>1.4</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2:31" x14ac:dyDescent="0.25">
      <c r="B60" s="35" t="s">
        <v>174</v>
      </c>
      <c r="C60" s="38">
        <v>0</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178</v>
      </c>
      <c r="C61" s="58">
        <f>SUM(C47:C59)</f>
        <v>100</v>
      </c>
      <c r="D61" s="64" t="str">
        <f>IF(C61=100,"","warning")</f>
        <v/>
      </c>
      <c r="E61" s="10" t="s">
        <v>178</v>
      </c>
      <c r="F61" s="58">
        <f>SUM(F47:F59)</f>
        <v>99.999999999999986</v>
      </c>
      <c r="G61" s="64" t="str">
        <f>IF(F61=100,"","warning")</f>
        <v/>
      </c>
      <c r="H61" s="10" t="s">
        <v>178</v>
      </c>
      <c r="I61" s="58">
        <f>SUM(I47:I59)</f>
        <v>99.999999999999986</v>
      </c>
      <c r="J61" s="64" t="str">
        <f>IF(I61=100,"","warning")</f>
        <v/>
      </c>
      <c r="K61" s="10" t="s">
        <v>178</v>
      </c>
      <c r="L61" s="58">
        <f>SUM(L47:L59)</f>
        <v>99.999999999999986</v>
      </c>
      <c r="M61" s="64" t="str">
        <f>IF(L61=100,"","warning")</f>
        <v/>
      </c>
      <c r="N61" s="10" t="s">
        <v>178</v>
      </c>
      <c r="O61" s="58">
        <f>SUM(O47:O59)</f>
        <v>99.999999999999986</v>
      </c>
      <c r="P61" s="64" t="str">
        <f>IF(O61=100,"","warning")</f>
        <v/>
      </c>
      <c r="Q61" s="10" t="s">
        <v>178</v>
      </c>
      <c r="R61" s="58">
        <f>SUM(R47:R59)</f>
        <v>99.999999999999986</v>
      </c>
      <c r="S61" s="64" t="str">
        <f>IF(R61=100,"","warning")</f>
        <v/>
      </c>
      <c r="T61" s="10" t="s">
        <v>178</v>
      </c>
      <c r="U61" s="58">
        <f>SUM(U47:U59)</f>
        <v>99.999999999999986</v>
      </c>
      <c r="V61" s="64" t="str">
        <f>IF(U61=100,"","warning")</f>
        <v/>
      </c>
      <c r="W61" s="10" t="s">
        <v>178</v>
      </c>
      <c r="X61" s="58">
        <f>SUM(X47:X59)</f>
        <v>99.999999999999986</v>
      </c>
      <c r="Y61" s="64" t="str">
        <f>IF(X61=100,"","warning")</f>
        <v/>
      </c>
      <c r="Z61" s="10" t="s">
        <v>178</v>
      </c>
      <c r="AA61" s="58">
        <f>SUM(AA47:AA59)</f>
        <v>99.999999999999986</v>
      </c>
      <c r="AB61" s="64" t="str">
        <f>IF(AA61=100,"","warning")</f>
        <v/>
      </c>
      <c r="AC61" s="10" t="s">
        <v>178</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179</v>
      </c>
      <c r="C63" s="21"/>
      <c r="D63" s="62"/>
      <c r="E63" s="24" t="s">
        <v>179</v>
      </c>
      <c r="F63" s="21"/>
      <c r="G63" s="62"/>
      <c r="H63" s="24" t="s">
        <v>179</v>
      </c>
      <c r="I63" s="21"/>
      <c r="J63" s="62"/>
      <c r="K63" s="24" t="s">
        <v>179</v>
      </c>
      <c r="L63" s="21"/>
      <c r="M63" s="62"/>
      <c r="N63" s="24" t="s">
        <v>179</v>
      </c>
      <c r="O63" s="21"/>
      <c r="P63" s="62"/>
      <c r="Q63" s="24" t="s">
        <v>179</v>
      </c>
      <c r="R63" s="21"/>
      <c r="S63" s="62"/>
      <c r="T63" s="24" t="s">
        <v>179</v>
      </c>
      <c r="U63" s="21"/>
      <c r="V63" s="62"/>
      <c r="W63" s="24" t="s">
        <v>179</v>
      </c>
      <c r="X63" s="21"/>
      <c r="Y63" s="62"/>
      <c r="Z63" s="24" t="s">
        <v>179</v>
      </c>
      <c r="AA63" s="21"/>
      <c r="AB63" s="62"/>
      <c r="AC63" s="24" t="s">
        <v>179</v>
      </c>
      <c r="AD63" s="21"/>
      <c r="AE63" s="62"/>
    </row>
    <row r="64" spans="2:31" x14ac:dyDescent="0.25">
      <c r="B64" s="27" t="s">
        <v>180</v>
      </c>
      <c r="C64" s="36" t="str">
        <f>IF(ISBLANK(D64), "none", D64)</f>
        <v>none</v>
      </c>
      <c r="D64" s="60" t="s">
        <v>181</v>
      </c>
      <c r="E64" s="27" t="s">
        <v>180</v>
      </c>
      <c r="F64" s="36" t="str">
        <f>IF(ISBLANK(G64), "none", G64)</f>
        <v>none</v>
      </c>
      <c r="G64" s="60" t="s">
        <v>181</v>
      </c>
      <c r="H64" s="27" t="s">
        <v>180</v>
      </c>
      <c r="I64" s="36" t="str">
        <f>IF(ISBLANK(J64), "none", J64)</f>
        <v>none</v>
      </c>
      <c r="J64" s="60" t="s">
        <v>181</v>
      </c>
      <c r="K64" s="27" t="s">
        <v>180</v>
      </c>
      <c r="L64" s="36" t="str">
        <f>IF(ISBLANK(M64), "none", M64)</f>
        <v>none</v>
      </c>
      <c r="M64" s="60" t="s">
        <v>181</v>
      </c>
      <c r="N64" s="27" t="s">
        <v>180</v>
      </c>
      <c r="O64" s="36" t="str">
        <f>IF(ISBLANK(P64), "none", P64)</f>
        <v>none</v>
      </c>
      <c r="P64" s="60" t="s">
        <v>181</v>
      </c>
      <c r="Q64" s="27" t="s">
        <v>180</v>
      </c>
      <c r="R64" s="36" t="str">
        <f>IF(ISBLANK(S64), "none", S64)</f>
        <v>none</v>
      </c>
      <c r="S64" s="60" t="s">
        <v>181</v>
      </c>
      <c r="T64" s="27" t="s">
        <v>180</v>
      </c>
      <c r="U64" s="36" t="str">
        <f>IF(ISBLANK(V64), "none", V64)</f>
        <v>none</v>
      </c>
      <c r="V64" s="60" t="s">
        <v>181</v>
      </c>
      <c r="W64" s="27" t="s">
        <v>180</v>
      </c>
      <c r="X64" s="36" t="str">
        <f>IF(ISBLANK(Y64), "none", Y64)</f>
        <v>none</v>
      </c>
      <c r="Y64" s="60" t="s">
        <v>181</v>
      </c>
      <c r="Z64" s="27" t="s">
        <v>180</v>
      </c>
      <c r="AA64" s="36" t="str">
        <f>IF(ISBLANK(AB64), "none", AB64)</f>
        <v>none</v>
      </c>
      <c r="AB64" s="60" t="s">
        <v>181</v>
      </c>
      <c r="AC64" s="27" t="s">
        <v>180</v>
      </c>
      <c r="AD64" s="36" t="str">
        <f>IF(ISBLANK(AE64), "none", AE64)</f>
        <v>none</v>
      </c>
      <c r="AE64" s="60" t="s">
        <v>181</v>
      </c>
    </row>
    <row r="65" spans="2:31" ht="17.25" x14ac:dyDescent="0.25">
      <c r="B65" s="27" t="s">
        <v>131</v>
      </c>
      <c r="C65" s="21">
        <f>IF(COUNT(D65)=1,D65,6)</f>
        <v>6</v>
      </c>
      <c r="D65" s="60"/>
      <c r="E65" s="27" t="s">
        <v>131</v>
      </c>
      <c r="F65" s="21">
        <f>IF(COUNT(G65)=1,G65,6)</f>
        <v>6</v>
      </c>
      <c r="G65" s="60"/>
      <c r="H65" s="27" t="s">
        <v>131</v>
      </c>
      <c r="I65" s="21">
        <f>IF(COUNT(J65)=1,J65,6)</f>
        <v>6</v>
      </c>
      <c r="J65" s="60"/>
      <c r="K65" s="27" t="s">
        <v>131</v>
      </c>
      <c r="L65" s="21">
        <f>IF(COUNT(M65)=1,M65,6)</f>
        <v>6</v>
      </c>
      <c r="M65" s="60"/>
      <c r="N65" s="27" t="s">
        <v>131</v>
      </c>
      <c r="O65" s="21">
        <f>IF(COUNT(P65)=1,P65,6)</f>
        <v>6</v>
      </c>
      <c r="P65" s="60"/>
      <c r="Q65" s="27" t="s">
        <v>131</v>
      </c>
      <c r="R65" s="21">
        <f>IF(COUNT(S65)=1,S65,6)</f>
        <v>6</v>
      </c>
      <c r="S65" s="60"/>
      <c r="T65" s="27" t="s">
        <v>131</v>
      </c>
      <c r="U65" s="21">
        <f>IF(COUNT(V65)=1,V65,6)</f>
        <v>6</v>
      </c>
      <c r="V65" s="60"/>
      <c r="W65" s="27" t="s">
        <v>131</v>
      </c>
      <c r="X65" s="21">
        <f>IF(COUNT(Y65)=1,Y65,6)</f>
        <v>6</v>
      </c>
      <c r="Y65" s="60"/>
      <c r="Z65" s="27" t="s">
        <v>131</v>
      </c>
      <c r="AA65" s="21">
        <f>IF(COUNT(AB65)=1,AB65,6)</f>
        <v>6</v>
      </c>
      <c r="AB65" s="60"/>
      <c r="AC65" s="27" t="s">
        <v>131</v>
      </c>
      <c r="AD65" s="21">
        <f>IF(COUNT(AE65)=1,AE65,6)</f>
        <v>6</v>
      </c>
      <c r="AE65" s="60"/>
    </row>
    <row r="66" spans="2:31" x14ac:dyDescent="0.25">
      <c r="B66" s="27" t="s">
        <v>182</v>
      </c>
      <c r="C66" s="36" t="str">
        <f>IF(ISBLANK(D66), "none", D66)</f>
        <v>none</v>
      </c>
      <c r="D66" s="60" t="s">
        <v>181</v>
      </c>
      <c r="E66" s="27" t="s">
        <v>182</v>
      </c>
      <c r="F66" s="36" t="str">
        <f>IF(ISBLANK(G66), "none", G66)</f>
        <v>none</v>
      </c>
      <c r="G66" s="60" t="s">
        <v>181</v>
      </c>
      <c r="H66" s="27" t="s">
        <v>182</v>
      </c>
      <c r="I66" s="36" t="str">
        <f>IF(ISBLANK(J66), "none", J66)</f>
        <v>none</v>
      </c>
      <c r="J66" s="60" t="s">
        <v>181</v>
      </c>
      <c r="K66" s="27" t="s">
        <v>182</v>
      </c>
      <c r="L66" s="36" t="str">
        <f>IF(ISBLANK(M66), "none", M66)</f>
        <v>none</v>
      </c>
      <c r="M66" s="60" t="s">
        <v>181</v>
      </c>
      <c r="N66" s="27" t="s">
        <v>182</v>
      </c>
      <c r="O66" s="36" t="str">
        <f>IF(ISBLANK(P66), "none", P66)</f>
        <v>none</v>
      </c>
      <c r="P66" s="60" t="s">
        <v>181</v>
      </c>
      <c r="Q66" s="27" t="s">
        <v>182</v>
      </c>
      <c r="R66" s="36" t="str">
        <f>IF(ISBLANK(S66), "none", S66)</f>
        <v>none</v>
      </c>
      <c r="S66" s="60" t="s">
        <v>181</v>
      </c>
      <c r="T66" s="27" t="s">
        <v>182</v>
      </c>
      <c r="U66" s="36" t="str">
        <f>IF(ISBLANK(V66), "none", V66)</f>
        <v>none</v>
      </c>
      <c r="V66" s="60" t="s">
        <v>181</v>
      </c>
      <c r="W66" s="27" t="s">
        <v>182</v>
      </c>
      <c r="X66" s="36" t="str">
        <f>IF(ISBLANK(Y66), "none", Y66)</f>
        <v>none</v>
      </c>
      <c r="Y66" s="60" t="s">
        <v>181</v>
      </c>
      <c r="Z66" s="27" t="s">
        <v>182</v>
      </c>
      <c r="AA66" s="36" t="str">
        <f>IF(ISBLANK(AB66), "none", AB66)</f>
        <v>none</v>
      </c>
      <c r="AB66" s="60" t="s">
        <v>181</v>
      </c>
      <c r="AC66" s="27" t="s">
        <v>182</v>
      </c>
      <c r="AD66" s="36" t="str">
        <f>IF(ISBLANK(AE66), "none", AE66)</f>
        <v>none</v>
      </c>
      <c r="AE66" s="60" t="s">
        <v>181</v>
      </c>
    </row>
    <row r="67" spans="2:31" x14ac:dyDescent="0.25">
      <c r="B67" s="27" t="s">
        <v>183</v>
      </c>
      <c r="C67" s="21">
        <f>IF(COUNT(D67)=1,D67,45)</f>
        <v>45</v>
      </c>
      <c r="D67" s="60"/>
      <c r="E67" s="27" t="s">
        <v>183</v>
      </c>
      <c r="F67" s="21">
        <f>IF(COUNT(G67)=1,G67,45)</f>
        <v>45</v>
      </c>
      <c r="G67" s="60"/>
      <c r="H67" s="27" t="s">
        <v>183</v>
      </c>
      <c r="I67" s="21">
        <f>IF(COUNT(J67)=1,J67,45)</f>
        <v>45</v>
      </c>
      <c r="J67" s="60"/>
      <c r="K67" s="27" t="s">
        <v>183</v>
      </c>
      <c r="L67" s="21">
        <f>IF(COUNT(M67)=1,M67,45)</f>
        <v>45</v>
      </c>
      <c r="M67" s="60"/>
      <c r="N67" s="27" t="s">
        <v>183</v>
      </c>
      <c r="O67" s="21">
        <f>IF(COUNT(P67)=1,P67,45)</f>
        <v>45</v>
      </c>
      <c r="P67" s="60"/>
      <c r="Q67" s="27" t="s">
        <v>183</v>
      </c>
      <c r="R67" s="21">
        <f>IF(COUNT(S67)=1,S67,45)</f>
        <v>45</v>
      </c>
      <c r="S67" s="60"/>
      <c r="T67" s="27" t="s">
        <v>183</v>
      </c>
      <c r="U67" s="21">
        <f>IF(COUNT(V67)=1,V67,45)</f>
        <v>45</v>
      </c>
      <c r="V67" s="60"/>
      <c r="W67" s="27" t="s">
        <v>183</v>
      </c>
      <c r="X67" s="21">
        <f>IF(COUNT(Y67)=1,Y67,45)</f>
        <v>45</v>
      </c>
      <c r="Y67" s="60"/>
      <c r="Z67" s="27" t="s">
        <v>183</v>
      </c>
      <c r="AA67" s="21">
        <f>IF(COUNT(AB67)=1,AB67,45)</f>
        <v>45</v>
      </c>
      <c r="AB67" s="60"/>
      <c r="AC67" s="27" t="s">
        <v>183</v>
      </c>
      <c r="AD67" s="21">
        <f>IF(COUNT(AE67)=1,AE67,45)</f>
        <v>45</v>
      </c>
      <c r="AE67" s="60"/>
    </row>
    <row r="68" spans="2:31" x14ac:dyDescent="0.25">
      <c r="B68" s="27" t="s">
        <v>184</v>
      </c>
      <c r="C68" s="36" t="str">
        <f>IF(ISBLANK(D68), "none", D68)</f>
        <v>none</v>
      </c>
      <c r="D68" s="60" t="s">
        <v>181</v>
      </c>
      <c r="E68" s="27" t="s">
        <v>184</v>
      </c>
      <c r="F68" s="36" t="str">
        <f>IF(ISBLANK(G68), "none", G68)</f>
        <v>none</v>
      </c>
      <c r="G68" s="60" t="s">
        <v>181</v>
      </c>
      <c r="H68" s="27" t="s">
        <v>184</v>
      </c>
      <c r="I68" s="36" t="str">
        <f>IF(ISBLANK(J68), "none", J68)</f>
        <v>none</v>
      </c>
      <c r="J68" s="60" t="s">
        <v>181</v>
      </c>
      <c r="K68" s="27" t="s">
        <v>184</v>
      </c>
      <c r="L68" s="36" t="str">
        <f>IF(ISBLANK(M68), "none", M68)</f>
        <v>none</v>
      </c>
      <c r="M68" s="60" t="s">
        <v>181</v>
      </c>
      <c r="N68" s="27" t="s">
        <v>184</v>
      </c>
      <c r="O68" s="36" t="str">
        <f>IF(ISBLANK(P68), "none", P68)</f>
        <v>none</v>
      </c>
      <c r="P68" s="60" t="s">
        <v>181</v>
      </c>
      <c r="Q68" s="27" t="s">
        <v>184</v>
      </c>
      <c r="R68" s="36" t="str">
        <f>IF(ISBLANK(S68), "none", S68)</f>
        <v>none</v>
      </c>
      <c r="S68" s="60" t="s">
        <v>181</v>
      </c>
      <c r="T68" s="27" t="s">
        <v>184</v>
      </c>
      <c r="U68" s="36" t="str">
        <f>IF(ISBLANK(V68), "none", V68)</f>
        <v>none</v>
      </c>
      <c r="V68" s="60" t="s">
        <v>181</v>
      </c>
      <c r="W68" s="27" t="s">
        <v>184</v>
      </c>
      <c r="X68" s="36" t="str">
        <f>IF(ISBLANK(Y68), "none", Y68)</f>
        <v>none</v>
      </c>
      <c r="Y68" s="60" t="s">
        <v>181</v>
      </c>
      <c r="Z68" s="27" t="s">
        <v>184</v>
      </c>
      <c r="AA68" s="36" t="str">
        <f>IF(ISBLANK(AB68), "none", AB68)</f>
        <v>none</v>
      </c>
      <c r="AB68" s="60" t="s">
        <v>181</v>
      </c>
      <c r="AC68" s="27" t="s">
        <v>184</v>
      </c>
      <c r="AD68" s="36" t="str">
        <f>IF(ISBLANK(AE68), "none", AE68)</f>
        <v>none</v>
      </c>
      <c r="AE68" s="60" t="s">
        <v>181</v>
      </c>
    </row>
    <row r="69" spans="2:31" ht="17.25" x14ac:dyDescent="0.25">
      <c r="B69" s="27" t="s">
        <v>185</v>
      </c>
      <c r="C69" s="22">
        <f>IF(COUNT(D69)=1,D69,20)</f>
        <v>20</v>
      </c>
      <c r="D69" s="60"/>
      <c r="E69" s="27" t="s">
        <v>185</v>
      </c>
      <c r="F69" s="22">
        <f>IF(COUNT(G69)=1,G69,20)</f>
        <v>20</v>
      </c>
      <c r="G69" s="60"/>
      <c r="H69" s="27" t="s">
        <v>185</v>
      </c>
      <c r="I69" s="22">
        <f>IF(COUNT(J69)=1,J69,20)</f>
        <v>20</v>
      </c>
      <c r="J69" s="60"/>
      <c r="K69" s="27" t="s">
        <v>185</v>
      </c>
      <c r="L69" s="22">
        <f>IF(COUNT(M69)=1,M69,20)</f>
        <v>20</v>
      </c>
      <c r="M69" s="60"/>
      <c r="N69" s="27" t="s">
        <v>185</v>
      </c>
      <c r="O69" s="22">
        <f>IF(COUNT(P69)=1,P69,20)</f>
        <v>20</v>
      </c>
      <c r="P69" s="60"/>
      <c r="Q69" s="27" t="s">
        <v>185</v>
      </c>
      <c r="R69" s="22">
        <f>IF(COUNT(S69)=1,S69,20)</f>
        <v>20</v>
      </c>
      <c r="S69" s="60"/>
      <c r="T69" s="27" t="s">
        <v>185</v>
      </c>
      <c r="U69" s="22">
        <f>IF(COUNT(V69)=1,V69,20)</f>
        <v>20</v>
      </c>
      <c r="V69" s="60"/>
      <c r="W69" s="27" t="s">
        <v>185</v>
      </c>
      <c r="X69" s="22">
        <f>IF(COUNT(Y69)=1,Y69,20)</f>
        <v>20</v>
      </c>
      <c r="Y69" s="60"/>
      <c r="Z69" s="27" t="s">
        <v>185</v>
      </c>
      <c r="AA69" s="22">
        <f>IF(COUNT(AB69)=1,AB69,20)</f>
        <v>20</v>
      </c>
      <c r="AB69" s="60"/>
      <c r="AC69" s="27" t="s">
        <v>185</v>
      </c>
      <c r="AD69" s="22">
        <f>IF(COUNT(AE69)=1,AE69,20)</f>
        <v>20</v>
      </c>
      <c r="AE69" s="60"/>
    </row>
    <row r="70" spans="2:31" ht="17.25" x14ac:dyDescent="0.25">
      <c r="B70" s="27" t="s">
        <v>186</v>
      </c>
      <c r="C70" s="22">
        <f>IF(COUNT(D70)=1,D70,365)</f>
        <v>365</v>
      </c>
      <c r="D70" s="63"/>
      <c r="E70" s="27" t="s">
        <v>186</v>
      </c>
      <c r="F70" s="22">
        <f>IF(COUNT(G70)=1,G70,365)</f>
        <v>365</v>
      </c>
      <c r="G70" s="63"/>
      <c r="H70" s="27" t="s">
        <v>186</v>
      </c>
      <c r="I70" s="22">
        <f>IF(COUNT(J70)=1,J70,365)</f>
        <v>365</v>
      </c>
      <c r="J70" s="63"/>
      <c r="K70" s="27" t="s">
        <v>186</v>
      </c>
      <c r="L70" s="22">
        <f>IF(COUNT(M70)=1,M70,365)</f>
        <v>365</v>
      </c>
      <c r="M70" s="63"/>
      <c r="N70" s="27" t="s">
        <v>186</v>
      </c>
      <c r="O70" s="22">
        <f>IF(COUNT(P70)=1,P70,365)</f>
        <v>365</v>
      </c>
      <c r="P70" s="63"/>
      <c r="Q70" s="27" t="s">
        <v>186</v>
      </c>
      <c r="R70" s="22">
        <f>IF(COUNT(S70)=1,S70,365)</f>
        <v>365</v>
      </c>
      <c r="S70" s="63"/>
      <c r="T70" s="27" t="s">
        <v>186</v>
      </c>
      <c r="U70" s="22">
        <f>IF(COUNT(V70)=1,V70,365)</f>
        <v>365</v>
      </c>
      <c r="V70" s="63"/>
      <c r="W70" s="27" t="s">
        <v>186</v>
      </c>
      <c r="X70" s="22">
        <f>IF(COUNT(Y70)=1,Y70,365)</f>
        <v>365</v>
      </c>
      <c r="Y70" s="63"/>
      <c r="Z70" s="27" t="s">
        <v>186</v>
      </c>
      <c r="AA70" s="22">
        <f>IF(COUNT(AB70)=1,AB70,365)</f>
        <v>365</v>
      </c>
      <c r="AB70" s="63"/>
      <c r="AC70" s="27" t="s">
        <v>186</v>
      </c>
      <c r="AD70" s="22">
        <f>IF(COUNT(AE70)=1,AE70,365)</f>
        <v>365</v>
      </c>
      <c r="AE70" s="63"/>
    </row>
    <row r="71" spans="2:31" x14ac:dyDescent="0.25">
      <c r="B71" s="27" t="s">
        <v>187</v>
      </c>
      <c r="C71" s="36" t="str">
        <f>IF(ISBLANK(D71), "none", D71)</f>
        <v>none</v>
      </c>
      <c r="D71" s="60" t="s">
        <v>181</v>
      </c>
      <c r="E71" s="27" t="s">
        <v>187</v>
      </c>
      <c r="F71" s="36" t="str">
        <f>IF(ISBLANK(G71), "none", G71)</f>
        <v>none</v>
      </c>
      <c r="G71" s="60" t="s">
        <v>181</v>
      </c>
      <c r="H71" s="27" t="s">
        <v>187</v>
      </c>
      <c r="I71" s="36" t="str">
        <f>IF(ISBLANK(J71), "none", J71)</f>
        <v>none</v>
      </c>
      <c r="J71" s="60" t="s">
        <v>181</v>
      </c>
      <c r="K71" s="27" t="s">
        <v>187</v>
      </c>
      <c r="L71" s="36" t="str">
        <f>IF(ISBLANK(M71), "none", M71)</f>
        <v>none</v>
      </c>
      <c r="M71" s="60" t="s">
        <v>181</v>
      </c>
      <c r="N71" s="27" t="s">
        <v>187</v>
      </c>
      <c r="O71" s="36" t="str">
        <f>IF(ISBLANK(P71), "none", P71)</f>
        <v>none</v>
      </c>
      <c r="P71" s="60" t="s">
        <v>181</v>
      </c>
      <c r="Q71" s="27" t="s">
        <v>187</v>
      </c>
      <c r="R71" s="36" t="str">
        <f>IF(ISBLANK(S71), "none", S71)</f>
        <v>none</v>
      </c>
      <c r="S71" s="60" t="s">
        <v>181</v>
      </c>
      <c r="T71" s="27" t="s">
        <v>187</v>
      </c>
      <c r="U71" s="36" t="str">
        <f>IF(ISBLANK(V71), "none", V71)</f>
        <v>none</v>
      </c>
      <c r="V71" s="60" t="s">
        <v>181</v>
      </c>
      <c r="W71" s="27" t="s">
        <v>187</v>
      </c>
      <c r="X71" s="36" t="str">
        <f>IF(ISBLANK(Y71), "none", Y71)</f>
        <v>none</v>
      </c>
      <c r="Y71" s="60" t="s">
        <v>181</v>
      </c>
      <c r="Z71" s="27" t="s">
        <v>187</v>
      </c>
      <c r="AA71" s="36" t="str">
        <f>IF(ISBLANK(AB71), "none", AB71)</f>
        <v>none</v>
      </c>
      <c r="AB71" s="60" t="s">
        <v>181</v>
      </c>
      <c r="AC71" s="27" t="s">
        <v>187</v>
      </c>
      <c r="AD71" s="36" t="str">
        <f>IF(ISBLANK(AE71), "none", AE71)</f>
        <v>none</v>
      </c>
      <c r="AE71" s="60" t="s">
        <v>181</v>
      </c>
    </row>
    <row r="72" spans="2:31" x14ac:dyDescent="0.25">
      <c r="B72" s="12" t="s">
        <v>188</v>
      </c>
      <c r="C72" s="33">
        <v>0</v>
      </c>
      <c r="D72" s="60"/>
      <c r="E72" s="12" t="s">
        <v>188</v>
      </c>
      <c r="F72" s="33">
        <v>0</v>
      </c>
      <c r="G72" s="60"/>
      <c r="H72" s="12" t="s">
        <v>188</v>
      </c>
      <c r="I72" s="33">
        <v>0</v>
      </c>
      <c r="J72" s="60"/>
      <c r="K72" s="12" t="s">
        <v>188</v>
      </c>
      <c r="L72" s="33">
        <v>0</v>
      </c>
      <c r="M72" s="60"/>
      <c r="N72" s="12" t="s">
        <v>188</v>
      </c>
      <c r="O72" s="33">
        <v>0</v>
      </c>
      <c r="P72" s="60"/>
      <c r="Q72" s="12" t="s">
        <v>188</v>
      </c>
      <c r="R72" s="33">
        <v>0</v>
      </c>
      <c r="S72" s="60"/>
      <c r="T72" s="12" t="s">
        <v>188</v>
      </c>
      <c r="U72" s="33">
        <v>0</v>
      </c>
      <c r="V72" s="60"/>
      <c r="W72" s="12" t="s">
        <v>188</v>
      </c>
      <c r="X72" s="33">
        <v>0</v>
      </c>
      <c r="Y72" s="60"/>
      <c r="Z72" s="12" t="s">
        <v>188</v>
      </c>
      <c r="AA72" s="33">
        <v>0</v>
      </c>
      <c r="AB72" s="60"/>
      <c r="AC72" s="12" t="s">
        <v>188</v>
      </c>
      <c r="AD72" s="33">
        <v>0</v>
      </c>
      <c r="AE72" s="60"/>
    </row>
    <row r="73" spans="2:31" x14ac:dyDescent="0.25">
      <c r="B73" s="12" t="s">
        <v>189</v>
      </c>
      <c r="C73" s="33">
        <f>1-C72</f>
        <v>1</v>
      </c>
      <c r="D73" s="60"/>
      <c r="E73" s="12" t="s">
        <v>189</v>
      </c>
      <c r="F73" s="33">
        <f>1-F72</f>
        <v>1</v>
      </c>
      <c r="G73" s="60"/>
      <c r="H73" s="12" t="s">
        <v>189</v>
      </c>
      <c r="I73" s="33">
        <f>1-I72</f>
        <v>1</v>
      </c>
      <c r="J73" s="60"/>
      <c r="K73" s="12" t="s">
        <v>189</v>
      </c>
      <c r="L73" s="33">
        <f>1-L72</f>
        <v>1</v>
      </c>
      <c r="M73" s="60"/>
      <c r="N73" s="12" t="s">
        <v>189</v>
      </c>
      <c r="O73" s="33">
        <f>1-O72</f>
        <v>1</v>
      </c>
      <c r="P73" s="60"/>
      <c r="Q73" s="12" t="s">
        <v>189</v>
      </c>
      <c r="R73" s="33">
        <f>1-R72</f>
        <v>1</v>
      </c>
      <c r="S73" s="60"/>
      <c r="T73" s="12" t="s">
        <v>189</v>
      </c>
      <c r="U73" s="33">
        <f>1-U72</f>
        <v>1</v>
      </c>
      <c r="V73" s="60"/>
      <c r="W73" s="12" t="s">
        <v>189</v>
      </c>
      <c r="X73" s="33">
        <f>1-X72</f>
        <v>1</v>
      </c>
      <c r="Y73" s="60"/>
      <c r="Z73" s="12" t="s">
        <v>189</v>
      </c>
      <c r="AA73" s="33">
        <f>1-AA72</f>
        <v>1</v>
      </c>
      <c r="AB73" s="60"/>
      <c r="AC73" s="12" t="s">
        <v>189</v>
      </c>
      <c r="AD73" s="33">
        <f>1-AD72</f>
        <v>1</v>
      </c>
      <c r="AE73" s="60"/>
    </row>
    <row r="74" spans="2:31" x14ac:dyDescent="0.25">
      <c r="B74" s="12" t="s">
        <v>130</v>
      </c>
      <c r="C74" s="22">
        <f>IF(COUNT(D74)=1,D74,HLOOKUP('in-barn'!C9,defaults!$A$127:$D$128,MATCH('in-barn'!B74,defaults!$A$127:$A$128,0),FALSE))</f>
        <v>51</v>
      </c>
      <c r="D74" s="61"/>
      <c r="E74" s="12" t="s">
        <v>130</v>
      </c>
      <c r="F74" s="22">
        <f>IF(COUNT(G74)=1,G74,HLOOKUP('in-barn'!F9,defaults!$A$127:$D$128,MATCH('in-barn'!E74,defaults!$A$127:$A$128,0),FALSE))</f>
        <v>51</v>
      </c>
      <c r="G74" s="61"/>
      <c r="H74" s="12" t="s">
        <v>130</v>
      </c>
      <c r="I74" s="22">
        <f>IF(COUNT(J74)=1,J74,HLOOKUP('in-barn'!I9,defaults!$A$127:$D$128,MATCH('in-barn'!H74,defaults!$A$127:$A$128,0),FALSE))</f>
        <v>65</v>
      </c>
      <c r="J74" s="61"/>
      <c r="K74" s="12" t="s">
        <v>130</v>
      </c>
      <c r="L74" s="22">
        <f>IF(COUNT(M74)=1,M74,HLOOKUP('in-barn'!L9,defaults!$A$127:$D$128,MATCH('in-barn'!K74,defaults!$A$127:$A$128,0),FALSE))</f>
        <v>65</v>
      </c>
      <c r="M74" s="61"/>
      <c r="N74" s="12" t="s">
        <v>130</v>
      </c>
      <c r="O74" s="22">
        <f>IF(COUNT(P74)=1,P74,HLOOKUP('in-barn'!O9,defaults!$A$127:$D$128,MATCH('in-barn'!N74,defaults!$A$127:$A$128,0),FALSE))</f>
        <v>65</v>
      </c>
      <c r="P74" s="61"/>
      <c r="Q74" s="12" t="s">
        <v>130</v>
      </c>
      <c r="R74" s="22">
        <f>IF(COUNT(S74)=1,S74,HLOOKUP('in-barn'!R9,defaults!$A$127:$D$128,MATCH('in-barn'!Q74,defaults!$A$127:$A$128,0),FALSE))</f>
        <v>65</v>
      </c>
      <c r="S74" s="61"/>
      <c r="T74" s="12" t="s">
        <v>130</v>
      </c>
      <c r="U74" s="22">
        <f>IF(COUNT(V74)=1,V74,HLOOKUP('in-barn'!U9,defaults!$A$127:$D$128,MATCH('in-barn'!T74,defaults!$A$127:$A$128,0),FALSE))</f>
        <v>65</v>
      </c>
      <c r="V74" s="61"/>
      <c r="W74" s="12" t="s">
        <v>130</v>
      </c>
      <c r="X74" s="22">
        <f>IF(COUNT(Y74)=1,Y74,HLOOKUP('in-barn'!X9,defaults!$A$127:$D$128,MATCH('in-barn'!W74,defaults!$A$127:$A$128,0),FALSE))</f>
        <v>65</v>
      </c>
      <c r="Y74" s="61"/>
      <c r="Z74" s="12" t="s">
        <v>130</v>
      </c>
      <c r="AA74" s="22">
        <f>IF(COUNT(AB74)=1,AB74,HLOOKUP('in-barn'!AA9,defaults!$A$127:$D$128,MATCH('in-barn'!Z74,defaults!$A$127:$A$128,0),FALSE))</f>
        <v>65</v>
      </c>
      <c r="AB74" s="61"/>
      <c r="AC74" s="12" t="s">
        <v>130</v>
      </c>
      <c r="AD74" s="22">
        <f>IF(COUNT(AE74)=1,AE74,HLOOKUP('in-barn'!AD9,defaults!$A$127:$D$128,MATCH('in-barn'!AC74,defaults!$A$127:$A$128,0),FALSE))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190</v>
      </c>
      <c r="C76" s="22"/>
      <c r="D76" s="59"/>
      <c r="E76" s="26" t="s">
        <v>190</v>
      </c>
      <c r="F76" s="22"/>
      <c r="G76" s="59"/>
      <c r="H76" s="26" t="s">
        <v>190</v>
      </c>
      <c r="I76" s="22"/>
      <c r="J76" s="59"/>
      <c r="K76" s="26" t="s">
        <v>190</v>
      </c>
      <c r="L76" s="22"/>
      <c r="M76" s="59"/>
      <c r="N76" s="26" t="s">
        <v>190</v>
      </c>
      <c r="O76" s="22"/>
      <c r="P76" s="59"/>
      <c r="Q76" s="26" t="s">
        <v>190</v>
      </c>
      <c r="R76" s="22"/>
      <c r="S76" s="59"/>
      <c r="T76" s="26" t="s">
        <v>190</v>
      </c>
      <c r="U76" s="22"/>
      <c r="V76" s="59"/>
      <c r="W76" s="26" t="s">
        <v>190</v>
      </c>
      <c r="X76" s="22"/>
      <c r="Y76" s="59"/>
      <c r="Z76" s="26" t="s">
        <v>190</v>
      </c>
      <c r="AA76" s="22"/>
      <c r="AB76" s="59"/>
      <c r="AC76" s="26" t="s">
        <v>190</v>
      </c>
      <c r="AD76" s="22"/>
      <c r="AE76" s="59"/>
    </row>
    <row r="77" spans="2:31" x14ac:dyDescent="0.25">
      <c r="B77" s="12" t="s">
        <v>191</v>
      </c>
      <c r="C77" s="25">
        <f>IF(COUNT(D77)=1,D77,_xlfn.CEILING.MATH(COLUMNS($B61:C61)/3))</f>
        <v>1</v>
      </c>
      <c r="D77" s="60"/>
      <c r="E77" s="12" t="s">
        <v>191</v>
      </c>
      <c r="F77" s="25">
        <f>IF(COUNT(G77)=1,G77,_xlfn.CEILING.MATH(COLUMNS($B61:F61)/3))</f>
        <v>2</v>
      </c>
      <c r="G77" s="60"/>
      <c r="H77" s="12" t="s">
        <v>191</v>
      </c>
      <c r="I77" s="25">
        <f>IF(COUNT(J77)=1,J77,_xlfn.CEILING.MATH(COLUMNS($B61:I61)/3))</f>
        <v>3</v>
      </c>
      <c r="J77" s="60"/>
      <c r="K77" s="12" t="s">
        <v>191</v>
      </c>
      <c r="L77" s="25">
        <f>IF(COUNT(M77)=1,M77,_xlfn.CEILING.MATH(COLUMNS($B61:L61)/3))</f>
        <v>4</v>
      </c>
      <c r="M77" s="60"/>
      <c r="N77" s="12" t="s">
        <v>191</v>
      </c>
      <c r="O77" s="25">
        <f>IF(COUNT(P77)=1,P77,_xlfn.CEILING.MATH(COLUMNS($B61:O61)/3))</f>
        <v>5</v>
      </c>
      <c r="P77" s="60"/>
      <c r="Q77" s="12" t="s">
        <v>191</v>
      </c>
      <c r="R77" s="25">
        <f>IF(COUNT(S77)=1,S77,_xlfn.CEILING.MATH(COLUMNS($B61:R61)/3))</f>
        <v>6</v>
      </c>
      <c r="S77" s="60"/>
      <c r="T77" s="12" t="s">
        <v>191</v>
      </c>
      <c r="U77" s="25">
        <f>IF(COUNT(V77)=1,V77,_xlfn.CEILING.MATH(COLUMNS($B61:U61)/3))</f>
        <v>7</v>
      </c>
      <c r="V77" s="60"/>
      <c r="W77" s="12" t="s">
        <v>191</v>
      </c>
      <c r="X77" s="25">
        <f>IF(COUNT(Y77)=1,Y77,_xlfn.CEILING.MATH(COLUMNS($B61:X61)/3))</f>
        <v>8</v>
      </c>
      <c r="Y77" s="60"/>
      <c r="Z77" s="12" t="s">
        <v>191</v>
      </c>
      <c r="AA77" s="25">
        <f>IF(COUNT(AB77)=1,AB77,_xlfn.CEILING.MATH(COLUMNS($B61:AA61)/3))</f>
        <v>9</v>
      </c>
      <c r="AB77" s="60"/>
      <c r="AC77" s="12" t="s">
        <v>191</v>
      </c>
      <c r="AD77" s="25">
        <f>IF(COUNT(AE77)=1,AE77,_xlfn.CEILING.MATH(COLUMNS($B61:AD61)/3))</f>
        <v>10</v>
      </c>
      <c r="AE77" s="60"/>
    </row>
    <row r="78" spans="2:31" x14ac:dyDescent="0.25">
      <c r="B78" s="12" t="s">
        <v>192</v>
      </c>
      <c r="C78" s="25">
        <f>IF(COUNT(D78)=1,D78,_xlfn.CEILING.MATH(COLUMNS($B62:C62)/3))</f>
        <v>1</v>
      </c>
      <c r="D78" s="61"/>
      <c r="E78" s="12" t="s">
        <v>192</v>
      </c>
      <c r="F78" s="25">
        <f>IF(COUNT(G78)=1,G78,_xlfn.CEILING.MATH(COLUMNS($B62:F62)/3))</f>
        <v>2</v>
      </c>
      <c r="G78" s="61"/>
      <c r="H78" s="12" t="s">
        <v>192</v>
      </c>
      <c r="I78" s="25">
        <f>IF(COUNT(J78)=1,J78,_xlfn.CEILING.MATH(COLUMNS($B62:I62)/3))</f>
        <v>3</v>
      </c>
      <c r="J78" s="61"/>
      <c r="K78" s="12" t="s">
        <v>192</v>
      </c>
      <c r="L78" s="25">
        <f>IF(COUNT(M78)=1,M78,_xlfn.CEILING.MATH(COLUMNS($B62:L62)/3))</f>
        <v>4</v>
      </c>
      <c r="M78" s="61"/>
      <c r="N78" s="12" t="s">
        <v>192</v>
      </c>
      <c r="O78" s="25">
        <f>IF(COUNT(P78)=1,P78,_xlfn.CEILING.MATH(COLUMNS($B62:O62)/3))</f>
        <v>5</v>
      </c>
      <c r="P78" s="61"/>
      <c r="Q78" s="12" t="s">
        <v>192</v>
      </c>
      <c r="R78" s="25">
        <f>IF(COUNT(S78)=1,S78,_xlfn.CEILING.MATH(COLUMNS($B62:R62)/3))</f>
        <v>6</v>
      </c>
      <c r="S78" s="61"/>
      <c r="T78" s="12" t="s">
        <v>192</v>
      </c>
      <c r="U78" s="25">
        <f>IF(COUNT(V78)=1,V78,_xlfn.CEILING.MATH(COLUMNS($B62:U62)/3))</f>
        <v>7</v>
      </c>
      <c r="V78" s="61"/>
      <c r="W78" s="12" t="s">
        <v>192</v>
      </c>
      <c r="X78" s="25">
        <f>IF(COUNT(Y78)=1,Y78,_xlfn.CEILING.MATH(COLUMNS($B62:X62)/3))</f>
        <v>8</v>
      </c>
      <c r="Y78" s="61"/>
      <c r="Z78" s="12" t="s">
        <v>192</v>
      </c>
      <c r="AA78" s="25">
        <f>IF(COUNT(AB78)=1,AB78,_xlfn.CEILING.MATH(COLUMNS($B62:AA62)/3))</f>
        <v>9</v>
      </c>
      <c r="AB78" s="61"/>
      <c r="AC78" s="12" t="s">
        <v>192</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136</v>
      </c>
      <c r="C80" s="22"/>
      <c r="D80" s="59"/>
      <c r="E80" s="26" t="s">
        <v>136</v>
      </c>
      <c r="F80" s="22"/>
      <c r="G80" s="59"/>
      <c r="H80" s="26" t="s">
        <v>136</v>
      </c>
      <c r="I80" s="22"/>
      <c r="J80" s="59"/>
      <c r="K80" s="26" t="s">
        <v>136</v>
      </c>
      <c r="L80" s="22"/>
      <c r="M80" s="59"/>
      <c r="N80" s="26" t="s">
        <v>136</v>
      </c>
      <c r="O80" s="22"/>
      <c r="P80" s="59"/>
      <c r="Q80" s="26" t="s">
        <v>136</v>
      </c>
      <c r="R80" s="22"/>
      <c r="S80" s="59"/>
      <c r="T80" s="26" t="s">
        <v>136</v>
      </c>
      <c r="U80" s="22"/>
      <c r="V80" s="59"/>
      <c r="W80" s="26" t="s">
        <v>136</v>
      </c>
      <c r="X80" s="22"/>
      <c r="Y80" s="59"/>
      <c r="Z80" s="26" t="s">
        <v>136</v>
      </c>
      <c r="AA80" s="22"/>
      <c r="AB80" s="59"/>
      <c r="AC80" s="26" t="s">
        <v>136</v>
      </c>
      <c r="AD80" s="22"/>
      <c r="AE80" s="59"/>
    </row>
    <row r="81" spans="2:31" x14ac:dyDescent="0.25">
      <c r="B81" s="12" t="s">
        <v>137</v>
      </c>
      <c r="C81" s="33">
        <f>IF(COUNT(D81)=1,D81,HLOOKUP('in-barn'!C9,defaults!$A$135:$C$143,MATCH('in-barn'!B81,defaults!$A$135:$A$143,0),FALSE))</f>
        <v>31.2</v>
      </c>
      <c r="D81" s="60"/>
      <c r="E81" s="12" t="s">
        <v>137</v>
      </c>
      <c r="F81" s="33">
        <f>IF(COUNT(G81)=1,G81,HLOOKUP('in-barn'!F9,defaults!$A$135:$C$143,MATCH('in-barn'!E81,defaults!$A$135:$A$143,0),FALSE))</f>
        <v>31.2</v>
      </c>
      <c r="G81" s="60"/>
      <c r="H81" s="12" t="s">
        <v>137</v>
      </c>
      <c r="I81" s="33">
        <f>IF(COUNT(J81)=1,J81,HLOOKUP('in-barn'!I9,defaults!$A$135:$C$143,MATCH('in-barn'!H81,defaults!$A$135:$A$143,0),FALSE))</f>
        <v>31.3</v>
      </c>
      <c r="J81" s="60"/>
      <c r="K81" s="12" t="s">
        <v>137</v>
      </c>
      <c r="L81" s="33">
        <f>IF(COUNT(M81)=1,M81,HLOOKUP('in-barn'!L9,defaults!$A$135:$C$143,MATCH('in-barn'!K81,defaults!$A$135:$A$143,0),FALSE))</f>
        <v>31.3</v>
      </c>
      <c r="M81" s="60"/>
      <c r="N81" s="12" t="s">
        <v>137</v>
      </c>
      <c r="O81" s="33">
        <f>IF(COUNT(P81)=1,P81,HLOOKUP('in-barn'!O9,defaults!$A$135:$C$143,MATCH('in-barn'!N81,defaults!$A$135:$A$143,0),FALSE))</f>
        <v>31.3</v>
      </c>
      <c r="P81" s="60"/>
      <c r="Q81" s="12" t="s">
        <v>137</v>
      </c>
      <c r="R81" s="33">
        <f>IF(COUNT(S81)=1,S81,HLOOKUP('in-barn'!R9,defaults!$A$135:$C$143,MATCH('in-barn'!Q81,defaults!$A$135:$A$143,0),FALSE))</f>
        <v>31.3</v>
      </c>
      <c r="S81" s="60"/>
      <c r="T81" s="12" t="s">
        <v>137</v>
      </c>
      <c r="U81" s="33">
        <f>IF(COUNT(V81)=1,V81,HLOOKUP('in-barn'!U9,defaults!$A$135:$C$143,MATCH('in-barn'!T81,defaults!$A$135:$A$143,0),FALSE))</f>
        <v>31.3</v>
      </c>
      <c r="V81" s="60"/>
      <c r="W81" s="12" t="s">
        <v>137</v>
      </c>
      <c r="X81" s="33">
        <f>IF(COUNT(Y81)=1,Y81,HLOOKUP('in-barn'!X9,defaults!$A$135:$C$143,MATCH('in-barn'!W81,defaults!$A$135:$A$143,0),FALSE))</f>
        <v>31.3</v>
      </c>
      <c r="Y81" s="60"/>
      <c r="Z81" s="12" t="s">
        <v>137</v>
      </c>
      <c r="AA81" s="33">
        <f>IF(COUNT(AB81)=1,AB81,HLOOKUP('in-barn'!AA9,defaults!$A$135:$C$143,MATCH('in-barn'!Z81,defaults!$A$135:$A$143,0),FALSE))</f>
        <v>31.3</v>
      </c>
      <c r="AB81" s="60"/>
      <c r="AC81" s="12" t="s">
        <v>137</v>
      </c>
      <c r="AD81" s="33">
        <f>IF(COUNT(AE81)=1,AE81,HLOOKUP('in-barn'!AD9,defaults!$A$135:$C$143,MATCH('in-barn'!AC81,defaults!$A$135:$A$143,0),FALSE))</f>
        <v>31.3</v>
      </c>
      <c r="AE81" s="60"/>
    </row>
    <row r="82" spans="2:31" x14ac:dyDescent="0.25">
      <c r="B82" s="12" t="s">
        <v>138</v>
      </c>
      <c r="C82" s="22">
        <f>IF(COUNT(D82)=1,D82,HLOOKUP('in-barn'!C9,defaults!$A$135:$C$143,MATCH('in-barn'!B82,defaults!$A$135:$A$143,0),FALSE))</f>
        <v>81000</v>
      </c>
      <c r="D82" s="60"/>
      <c r="E82" s="12" t="s">
        <v>138</v>
      </c>
      <c r="F82" s="22">
        <f>IF(COUNT(G82)=1,G82,HLOOKUP('in-barn'!F9,defaults!$A$135:$C$143,MATCH('in-barn'!E82,defaults!$A$135:$A$143,0),FALSE))</f>
        <v>81000</v>
      </c>
      <c r="G82" s="60"/>
      <c r="H82" s="12" t="s">
        <v>138</v>
      </c>
      <c r="I82" s="22">
        <f>IF(COUNT(J82)=1,J82,HLOOKUP('in-barn'!I9,defaults!$A$135:$C$143,MATCH('in-barn'!H82,defaults!$A$135:$A$143,0),FALSE))</f>
        <v>81000</v>
      </c>
      <c r="J82" s="60"/>
      <c r="K82" s="12" t="s">
        <v>138</v>
      </c>
      <c r="L82" s="22">
        <f>IF(COUNT(M82)=1,M82,HLOOKUP('in-barn'!L9,defaults!$A$135:$C$143,MATCH('in-barn'!K82,defaults!$A$135:$A$143,0),FALSE))</f>
        <v>81000</v>
      </c>
      <c r="M82" s="60"/>
      <c r="N82" s="12" t="s">
        <v>138</v>
      </c>
      <c r="O82" s="22">
        <f>IF(COUNT(P82)=1,P82,HLOOKUP('in-barn'!O9,defaults!$A$135:$C$143,MATCH('in-barn'!N82,defaults!$A$135:$A$143,0),FALSE))</f>
        <v>81000</v>
      </c>
      <c r="P82" s="60"/>
      <c r="Q82" s="12" t="s">
        <v>138</v>
      </c>
      <c r="R82" s="22">
        <f>IF(COUNT(S82)=1,S82,HLOOKUP('in-barn'!R9,defaults!$A$135:$C$143,MATCH('in-barn'!Q82,defaults!$A$135:$A$143,0),FALSE))</f>
        <v>81000</v>
      </c>
      <c r="S82" s="60"/>
      <c r="T82" s="12" t="s">
        <v>138</v>
      </c>
      <c r="U82" s="22">
        <f>IF(COUNT(V82)=1,V82,HLOOKUP('in-barn'!U9,defaults!$A$135:$C$143,MATCH('in-barn'!T82,defaults!$A$135:$A$143,0),FALSE))</f>
        <v>81000</v>
      </c>
      <c r="V82" s="60"/>
      <c r="W82" s="12" t="s">
        <v>138</v>
      </c>
      <c r="X82" s="22">
        <f>IF(COUNT(Y82)=1,Y82,HLOOKUP('in-barn'!X9,defaults!$A$135:$C$143,MATCH('in-barn'!W82,defaults!$A$135:$A$143,0),FALSE))</f>
        <v>81000</v>
      </c>
      <c r="Y82" s="60"/>
      <c r="Z82" s="12" t="s">
        <v>138</v>
      </c>
      <c r="AA82" s="22">
        <f>IF(COUNT(AB82)=1,AB82,HLOOKUP('in-barn'!AA9,defaults!$A$135:$C$143,MATCH('in-barn'!Z82,defaults!$A$135:$A$143,0),FALSE))</f>
        <v>81000</v>
      </c>
      <c r="AB82" s="60"/>
      <c r="AC82" s="12" t="s">
        <v>138</v>
      </c>
      <c r="AD82" s="22">
        <f>IF(COUNT(AE82)=1,AE82,HLOOKUP('in-barn'!AD9,defaults!$A$135:$C$143,MATCH('in-barn'!AC82,defaults!$A$135:$A$143,0),FALSE))</f>
        <v>81000</v>
      </c>
      <c r="AE82" s="60"/>
    </row>
    <row r="83" spans="2:31" x14ac:dyDescent="0.25">
      <c r="B83" s="12" t="s">
        <v>139</v>
      </c>
      <c r="C83" s="23">
        <f>IF(COUNT(D83)=1,D83,HLOOKUP('in-barn'!C9,defaults!$A$135:$C$143,MATCH('in-barn'!B83,defaults!$A$135:$A$143,0),FALSE))</f>
        <v>0.42</v>
      </c>
      <c r="D83" s="60"/>
      <c r="E83" s="12" t="s">
        <v>139</v>
      </c>
      <c r="F83" s="23">
        <f>IF(COUNT(G83)=1,G83,HLOOKUP('in-barn'!F9,defaults!$A$135:$C$143,MATCH('in-barn'!E83,defaults!$A$135:$A$143,0),FALSE))</f>
        <v>0.42</v>
      </c>
      <c r="G83" s="60"/>
      <c r="H83" s="12" t="s">
        <v>139</v>
      </c>
      <c r="I83" s="23">
        <f>IF(COUNT(J83)=1,J83,HLOOKUP('in-barn'!I9,defaults!$A$135:$C$143,MATCH('in-barn'!H83,defaults!$A$135:$A$143,0),FALSE))</f>
        <v>0.7</v>
      </c>
      <c r="J83" s="60"/>
      <c r="K83" s="12" t="s">
        <v>139</v>
      </c>
      <c r="L83" s="23">
        <f>IF(COUNT(M83)=1,M83,HLOOKUP('in-barn'!L9,defaults!$A$135:$C$143,MATCH('in-barn'!K83,defaults!$A$135:$A$143,0),FALSE))</f>
        <v>0.7</v>
      </c>
      <c r="M83" s="60"/>
      <c r="N83" s="12" t="s">
        <v>139</v>
      </c>
      <c r="O83" s="23">
        <f>IF(COUNT(P83)=1,P83,HLOOKUP('in-barn'!O9,defaults!$A$135:$C$143,MATCH('in-barn'!N83,defaults!$A$135:$A$143,0),FALSE))</f>
        <v>0.7</v>
      </c>
      <c r="P83" s="60"/>
      <c r="Q83" s="12" t="s">
        <v>139</v>
      </c>
      <c r="R83" s="23">
        <f>IF(COUNT(S83)=1,S83,HLOOKUP('in-barn'!R9,defaults!$A$135:$C$143,MATCH('in-barn'!Q83,defaults!$A$135:$A$143,0),FALSE))</f>
        <v>0.7</v>
      </c>
      <c r="S83" s="60"/>
      <c r="T83" s="12" t="s">
        <v>139</v>
      </c>
      <c r="U83" s="23">
        <f>IF(COUNT(V83)=1,V83,HLOOKUP('in-barn'!U9,defaults!$A$135:$C$143,MATCH('in-barn'!T83,defaults!$A$135:$A$143,0),FALSE))</f>
        <v>0.7</v>
      </c>
      <c r="V83" s="60"/>
      <c r="W83" s="12" t="s">
        <v>139</v>
      </c>
      <c r="X83" s="23">
        <f>IF(COUNT(Y83)=1,Y83,HLOOKUP('in-barn'!X9,defaults!$A$135:$C$143,MATCH('in-barn'!W83,defaults!$A$135:$A$143,0),FALSE))</f>
        <v>0.7</v>
      </c>
      <c r="Y83" s="60"/>
      <c r="Z83" s="12" t="s">
        <v>139</v>
      </c>
      <c r="AA83" s="23">
        <f>IF(COUNT(AB83)=1,AB83,HLOOKUP('in-barn'!AA9,defaults!$A$135:$C$143,MATCH('in-barn'!Z83,defaults!$A$135:$A$143,0),FALSE))</f>
        <v>0.7</v>
      </c>
      <c r="AB83" s="60"/>
      <c r="AC83" s="12" t="s">
        <v>139</v>
      </c>
      <c r="AD83" s="23">
        <f>IF(COUNT(AE83)=1,AE83,HLOOKUP('in-barn'!AD9,defaults!$A$135:$C$143,MATCH('in-barn'!AC83,defaults!$A$135:$A$143,0),FALSE))</f>
        <v>0.7</v>
      </c>
      <c r="AE83" s="60"/>
    </row>
    <row r="84" spans="2:31" x14ac:dyDescent="0.25">
      <c r="B84" s="12" t="s">
        <v>140</v>
      </c>
      <c r="C84" s="23">
        <f>IF(COUNT(D84)=1,D84,HLOOKUP('in-barn'!C9,defaults!$A$135:$C$143,MATCH('in-barn'!B84,defaults!$A$135:$A$143,0),FALSE))</f>
        <v>6.67</v>
      </c>
      <c r="D84" s="61"/>
      <c r="E84" s="12" t="s">
        <v>140</v>
      </c>
      <c r="F84" s="23">
        <f>IF(COUNT(G84)=1,G84,HLOOKUP('in-barn'!F9,defaults!$A$135:$C$143,MATCH('in-barn'!E84,defaults!$A$135:$A$143,0),FALSE))</f>
        <v>6.67</v>
      </c>
      <c r="G84" s="61"/>
      <c r="H84" s="12" t="s">
        <v>140</v>
      </c>
      <c r="I84" s="23">
        <f>IF(COUNT(J84)=1,J84,HLOOKUP('in-barn'!I9,defaults!$A$135:$C$143,MATCH('in-barn'!H84,defaults!$A$135:$A$143,0),FALSE))</f>
        <v>6.67</v>
      </c>
      <c r="J84" s="61"/>
      <c r="K84" s="12" t="s">
        <v>140</v>
      </c>
      <c r="L84" s="23">
        <f>IF(COUNT(M84)=1,M84,HLOOKUP('in-barn'!L9,defaults!$A$135:$C$143,MATCH('in-barn'!K84,defaults!$A$135:$A$143,0),FALSE))</f>
        <v>6.67</v>
      </c>
      <c r="M84" s="61"/>
      <c r="N84" s="12" t="s">
        <v>140</v>
      </c>
      <c r="O84" s="23">
        <f>IF(COUNT(P84)=1,P84,HLOOKUP('in-barn'!O9,defaults!$A$135:$C$143,MATCH('in-barn'!N84,defaults!$A$135:$A$143,0),FALSE))</f>
        <v>6.67</v>
      </c>
      <c r="P84" s="61"/>
      <c r="Q84" s="12" t="s">
        <v>140</v>
      </c>
      <c r="R84" s="23">
        <f>IF(COUNT(S84)=1,S84,HLOOKUP('in-barn'!R9,defaults!$A$135:$C$143,MATCH('in-barn'!Q84,defaults!$A$135:$A$143,0),FALSE))</f>
        <v>6.67</v>
      </c>
      <c r="S84" s="61"/>
      <c r="T84" s="12" t="s">
        <v>140</v>
      </c>
      <c r="U84" s="23">
        <f>IF(COUNT(V84)=1,V84,HLOOKUP('in-barn'!U9,defaults!$A$135:$C$143,MATCH('in-barn'!T84,defaults!$A$135:$A$143,0),FALSE))</f>
        <v>6.67</v>
      </c>
      <c r="V84" s="61"/>
      <c r="W84" s="12" t="s">
        <v>140</v>
      </c>
      <c r="X84" s="23">
        <f>IF(COUNT(Y84)=1,Y84,HLOOKUP('in-barn'!X9,defaults!$A$135:$C$143,MATCH('in-barn'!W84,defaults!$A$135:$A$143,0),FALSE))</f>
        <v>6.67</v>
      </c>
      <c r="Y84" s="61"/>
      <c r="Z84" s="12" t="s">
        <v>140</v>
      </c>
      <c r="AA84" s="23">
        <f>IF(COUNT(AB84)=1,AB84,HLOOKUP('in-barn'!AA9,defaults!$A$135:$C$143,MATCH('in-barn'!Z84,defaults!$A$135:$A$143,0),FALSE))</f>
        <v>6.67</v>
      </c>
      <c r="AB84" s="61"/>
      <c r="AC84" s="12" t="s">
        <v>140</v>
      </c>
      <c r="AD84" s="23">
        <f>IF(COUNT(AE84)=1,AE84,HLOOKUP('in-barn'!AD9,defaults!$A$135:$C$143,MATCH('in-barn'!AC84,defaults!$A$135:$A$143,0),FALSE))</f>
        <v>6.67</v>
      </c>
      <c r="AE84" s="61"/>
    </row>
    <row r="85" spans="2:31" x14ac:dyDescent="0.25">
      <c r="D85" s="28"/>
      <c r="G85" s="28"/>
      <c r="J85" s="28"/>
      <c r="M85" s="28"/>
      <c r="P85" s="28"/>
      <c r="S85" s="28"/>
      <c r="V85" s="28"/>
      <c r="Y85" s="28"/>
      <c r="AB85" s="28"/>
      <c r="AE85" s="28"/>
    </row>
    <row r="86" spans="2:31" x14ac:dyDescent="0.25">
      <c r="B86" s="26" t="s">
        <v>141</v>
      </c>
      <c r="C86" s="22"/>
      <c r="D86" s="59"/>
      <c r="E86" s="26" t="s">
        <v>141</v>
      </c>
      <c r="F86" s="22"/>
      <c r="G86" s="59"/>
      <c r="H86" s="26" t="s">
        <v>141</v>
      </c>
      <c r="I86" s="22"/>
      <c r="J86" s="59"/>
      <c r="K86" s="26" t="s">
        <v>141</v>
      </c>
      <c r="L86" s="22"/>
      <c r="M86" s="59"/>
      <c r="N86" s="26" t="s">
        <v>141</v>
      </c>
      <c r="O86" s="22"/>
      <c r="P86" s="59"/>
      <c r="Q86" s="26" t="s">
        <v>141</v>
      </c>
      <c r="R86" s="22"/>
      <c r="S86" s="59"/>
      <c r="T86" s="26" t="s">
        <v>141</v>
      </c>
      <c r="U86" s="22"/>
      <c r="V86" s="59"/>
      <c r="W86" s="26" t="s">
        <v>141</v>
      </c>
      <c r="X86" s="22"/>
      <c r="Y86" s="59"/>
      <c r="Z86" s="26" t="s">
        <v>141</v>
      </c>
      <c r="AA86" s="22"/>
      <c r="AB86" s="59"/>
      <c r="AC86" s="26" t="s">
        <v>141</v>
      </c>
      <c r="AD86" s="22"/>
      <c r="AE86" s="59"/>
    </row>
    <row r="87" spans="2:31" x14ac:dyDescent="0.25">
      <c r="B87" s="10" t="s">
        <v>142</v>
      </c>
      <c r="C87" s="33">
        <f>IF(COUNT(D87)=1,D87,HLOOKUP('in-barn'!C9,defaults!$A$142:$C$145,MATCH('in-barn'!B87,defaults!$A$142:$A$145,0),FALSE))</f>
        <v>72</v>
      </c>
      <c r="D87" s="60"/>
      <c r="E87" s="10" t="s">
        <v>142</v>
      </c>
      <c r="F87" s="33">
        <f>IF(COUNT(G87)=1,G87,HLOOKUP('in-barn'!F9,defaults!$A$142:$C$145,MATCH('in-barn'!E87,defaults!$A$142:$A$145,0),FALSE))</f>
        <v>72</v>
      </c>
      <c r="G87" s="60"/>
      <c r="H87" s="10" t="s">
        <v>142</v>
      </c>
      <c r="I87" s="33">
        <f>IF(COUNT(J87)=1,J87,HLOOKUP('in-barn'!I9,defaults!$A$142:$C$145,MATCH('in-barn'!H87,defaults!$A$142:$A$145,0),FALSE))</f>
        <v>54</v>
      </c>
      <c r="J87" s="60"/>
      <c r="K87" s="10" t="s">
        <v>142</v>
      </c>
      <c r="L87" s="33">
        <f>IF(COUNT(M87)=1,M87,HLOOKUP('in-barn'!L9,defaults!$A$142:$C$145,MATCH('in-barn'!K87,defaults!$A$142:$A$145,0),FALSE))</f>
        <v>54</v>
      </c>
      <c r="M87" s="60"/>
      <c r="N87" s="10" t="s">
        <v>142</v>
      </c>
      <c r="O87" s="33">
        <f>IF(COUNT(P87)=1,P87,HLOOKUP('in-barn'!O9,defaults!$A$142:$C$145,MATCH('in-barn'!N87,defaults!$A$142:$A$145,0),FALSE))</f>
        <v>54</v>
      </c>
      <c r="P87" s="60"/>
      <c r="Q87" s="10" t="s">
        <v>142</v>
      </c>
      <c r="R87" s="33">
        <f>IF(COUNT(S87)=1,S87,HLOOKUP('in-barn'!R9,defaults!$A$142:$C$145,MATCH('in-barn'!Q87,defaults!$A$142:$A$145,0),FALSE))</f>
        <v>54</v>
      </c>
      <c r="S87" s="60"/>
      <c r="T87" s="10" t="s">
        <v>142</v>
      </c>
      <c r="U87" s="33">
        <f>IF(COUNT(V87)=1,V87,HLOOKUP('in-barn'!U9,defaults!$A$142:$C$145,MATCH('in-barn'!T87,defaults!$A$142:$A$145,0),FALSE))</f>
        <v>54</v>
      </c>
      <c r="V87" s="60"/>
      <c r="W87" s="10" t="s">
        <v>142</v>
      </c>
      <c r="X87" s="33">
        <f>IF(COUNT(Y87)=1,Y87,HLOOKUP('in-barn'!X9,defaults!$A$142:$C$145,MATCH('in-barn'!W87,defaults!$A$142:$A$145,0),FALSE))</f>
        <v>54</v>
      </c>
      <c r="Y87" s="60"/>
      <c r="Z87" s="10" t="s">
        <v>142</v>
      </c>
      <c r="AA87" s="33">
        <f>IF(COUNT(AB87)=1,AB87,HLOOKUP('in-barn'!AA9,defaults!$A$142:$C$145,MATCH('in-barn'!Z87,defaults!$A$142:$A$145,0),FALSE))</f>
        <v>54</v>
      </c>
      <c r="AB87" s="60"/>
      <c r="AC87" s="10" t="s">
        <v>142</v>
      </c>
      <c r="AD87" s="33">
        <f>IF(COUNT(AE87)=1,AE87,HLOOKUP('in-barn'!AD9,defaults!$A$142:$C$145,MATCH('in-barn'!AC87,defaults!$A$142:$A$145,0),FALSE))</f>
        <v>54</v>
      </c>
      <c r="AE87" s="60"/>
    </row>
    <row r="88" spans="2:31" x14ac:dyDescent="0.25">
      <c r="B88" s="10" t="s">
        <v>143</v>
      </c>
      <c r="C88" s="33">
        <f>IF(COUNT(D88)=1,D88,HLOOKUP('in-barn'!C9,defaults!$A$142:$C$145,MATCH('in-barn'!B88,defaults!$A$142:$A$145,0),FALSE))</f>
        <v>48</v>
      </c>
      <c r="D88" s="60"/>
      <c r="E88" s="10" t="s">
        <v>143</v>
      </c>
      <c r="F88" s="33">
        <f>IF(COUNT(G88)=1,G88,HLOOKUP('in-barn'!F9,defaults!$A$142:$C$145,MATCH('in-barn'!E88,defaults!$A$142:$A$145,0),FALSE))</f>
        <v>48</v>
      </c>
      <c r="G88" s="60"/>
      <c r="H88" s="10" t="s">
        <v>143</v>
      </c>
      <c r="I88" s="33">
        <f>IF(COUNT(J88)=1,J88,HLOOKUP('in-barn'!I9,defaults!$A$142:$C$145,MATCH('in-barn'!H88,defaults!$A$142:$A$145,0),FALSE))</f>
        <v>23</v>
      </c>
      <c r="J88" s="60"/>
      <c r="K88" s="10" t="s">
        <v>143</v>
      </c>
      <c r="L88" s="33">
        <f>IF(COUNT(M88)=1,M88,HLOOKUP('in-barn'!L9,defaults!$A$142:$C$145,MATCH('in-barn'!K88,defaults!$A$142:$A$145,0),FALSE))</f>
        <v>23</v>
      </c>
      <c r="M88" s="60"/>
      <c r="N88" s="10" t="s">
        <v>143</v>
      </c>
      <c r="O88" s="33">
        <f>IF(COUNT(P88)=1,P88,HLOOKUP('in-barn'!O9,defaults!$A$142:$C$145,MATCH('in-barn'!N88,defaults!$A$142:$A$145,0),FALSE))</f>
        <v>23</v>
      </c>
      <c r="P88" s="60"/>
      <c r="Q88" s="10" t="s">
        <v>143</v>
      </c>
      <c r="R88" s="33">
        <f>IF(COUNT(S88)=1,S88,HLOOKUP('in-barn'!R9,defaults!$A$142:$C$145,MATCH('in-barn'!Q88,defaults!$A$142:$A$145,0),FALSE))</f>
        <v>23</v>
      </c>
      <c r="S88" s="60"/>
      <c r="T88" s="10" t="s">
        <v>143</v>
      </c>
      <c r="U88" s="33">
        <f>IF(COUNT(V88)=1,V88,HLOOKUP('in-barn'!U9,defaults!$A$142:$C$145,MATCH('in-barn'!T88,defaults!$A$142:$A$145,0),FALSE))</f>
        <v>23</v>
      </c>
      <c r="V88" s="60"/>
      <c r="W88" s="10" t="s">
        <v>143</v>
      </c>
      <c r="X88" s="33">
        <f>IF(COUNT(Y88)=1,Y88,HLOOKUP('in-barn'!X9,defaults!$A$142:$C$145,MATCH('in-barn'!W88,defaults!$A$142:$A$145,0),FALSE))</f>
        <v>23</v>
      </c>
      <c r="Y88" s="60"/>
      <c r="Z88" s="10" t="s">
        <v>143</v>
      </c>
      <c r="AA88" s="33">
        <f>IF(COUNT(AB88)=1,AB88,HLOOKUP('in-barn'!AA9,defaults!$A$142:$C$145,MATCH('in-barn'!Z88,defaults!$A$142:$A$145,0),FALSE))</f>
        <v>23</v>
      </c>
      <c r="AB88" s="60"/>
      <c r="AC88" s="10" t="s">
        <v>143</v>
      </c>
      <c r="AD88" s="33">
        <f>IF(COUNT(AE88)=1,AE88,HLOOKUP('in-barn'!AD9,defaults!$A$142:$C$145,MATCH('in-barn'!AC88,defaults!$A$142:$A$145,0),FALSE))</f>
        <v>23</v>
      </c>
      <c r="AE88" s="60"/>
    </row>
    <row r="89" spans="2:31" x14ac:dyDescent="0.25">
      <c r="B89" s="10" t="s">
        <v>193</v>
      </c>
      <c r="C89" s="33">
        <f>IF(COUNT(D89)=1,D89,HLOOKUP(C12,defaults!$A$147:$AA$179,MATCH(C10,defaults!$A$147:$A$179,0),FALSE))</f>
        <v>0</v>
      </c>
      <c r="D89" s="61"/>
      <c r="E89" s="10" t="s">
        <v>193</v>
      </c>
      <c r="F89" s="33">
        <f>IF(COUNT(G89)=1,G89,HLOOKUP(F12,defaults!$A$147:$AA$179,MATCH(F10,defaults!$A$147:$A$179,0),FALSE))</f>
        <v>0</v>
      </c>
      <c r="G89" s="61"/>
      <c r="H89" s="10" t="s">
        <v>193</v>
      </c>
      <c r="I89" s="33">
        <f>IF(COUNT(J89)=1,J89,HLOOKUP(I12,defaults!$A$147:$AA$179,MATCH(I10,defaults!$A$147:$A$179,0),FALSE))</f>
        <v>0</v>
      </c>
      <c r="J89" s="61"/>
      <c r="K89" s="10" t="s">
        <v>193</v>
      </c>
      <c r="L89" s="33">
        <f>IF(COUNT(M89)=1,M89,HLOOKUP(L12,defaults!$A$147:$AA$179,MATCH(L10,defaults!$A$147:$A$179,0),FALSE))</f>
        <v>0</v>
      </c>
      <c r="M89" s="61"/>
      <c r="N89" s="10" t="s">
        <v>193</v>
      </c>
      <c r="O89" s="33">
        <f>IF(COUNT(P89)=1,P89,HLOOKUP(O12,defaults!$A$147:$AA$179,MATCH(O10,defaults!$A$147:$A$179,0),FALSE))</f>
        <v>0</v>
      </c>
      <c r="P89" s="61"/>
      <c r="Q89" s="10" t="s">
        <v>193</v>
      </c>
      <c r="R89" s="33">
        <f>IF(COUNT(S89)=1,S89,HLOOKUP(R12,defaults!$A$147:$AA$179,MATCH(R10,defaults!$A$147:$A$179,0),FALSE))</f>
        <v>0</v>
      </c>
      <c r="S89" s="61"/>
      <c r="T89" s="10" t="s">
        <v>193</v>
      </c>
      <c r="U89" s="33">
        <f>IF(COUNT(V89)=1,V89,HLOOKUP(U12,defaults!$A$147:$AA$179,MATCH(U10,defaults!$A$147:$A$179,0),FALSE))</f>
        <v>0</v>
      </c>
      <c r="V89" s="61"/>
      <c r="W89" s="10" t="s">
        <v>193</v>
      </c>
      <c r="X89" s="33">
        <f>IF(COUNT(Y89)=1,Y89,HLOOKUP(X12,defaults!$A$147:$AA$179,MATCH(X10,defaults!$A$147:$A$179,0),FALSE))</f>
        <v>0</v>
      </c>
      <c r="Y89" s="61"/>
      <c r="Z89" s="10" t="s">
        <v>193</v>
      </c>
      <c r="AA89" s="33">
        <f>IF(COUNT(AB89)=1,AB89,HLOOKUP(AA12,defaults!$A$147:$AA$179,MATCH(AA10,defaults!$A$147:$A$179,0),FALSE))</f>
        <v>0</v>
      </c>
      <c r="AB89" s="61"/>
      <c r="AC89" s="10" t="s">
        <v>193</v>
      </c>
      <c r="AD89" s="33">
        <f>IF(COUNT(AE89)=1,AE89,HLOOKUP(AD12,defaults!$A$147:$AA$179,MATCH(AD10,defaults!$A$147:$A$179,0),FALSE))</f>
        <v>0</v>
      </c>
      <c r="AE89" s="61"/>
    </row>
  </sheetData>
  <sheetProtection formatCells="0" formatColumns="0" formatRows="0" insertColumns="0" insertRows="0" insertHyperlinks="0" sort="0" autoFilter="0" pivotTables="0"/>
  <conditionalFormatting sqref="D76:D77 D63:D64 D68:D73 D80:D82 D8:D61">
    <cfRule type="expression" dxfId="176" priority="183">
      <formula>#REF!</formula>
    </cfRule>
  </conditionalFormatting>
  <conditionalFormatting sqref="D83">
    <cfRule type="expression" dxfId="175" priority="149">
      <formula>#REF!</formula>
    </cfRule>
  </conditionalFormatting>
  <conditionalFormatting sqref="D86:D87">
    <cfRule type="expression" dxfId="174" priority="148">
      <formula>#REF!</formula>
    </cfRule>
  </conditionalFormatting>
  <conditionalFormatting sqref="D78">
    <cfRule type="expression" dxfId="173" priority="146">
      <formula>#REF!</formula>
    </cfRule>
  </conditionalFormatting>
  <conditionalFormatting sqref="D74">
    <cfRule type="expression" dxfId="172" priority="145">
      <formula>#REF!</formula>
    </cfRule>
  </conditionalFormatting>
  <conditionalFormatting sqref="D84">
    <cfRule type="expression" dxfId="171" priority="144">
      <formula>#REF!</formula>
    </cfRule>
  </conditionalFormatting>
  <conditionalFormatting sqref="D88:D89">
    <cfRule type="expression" dxfId="170" priority="143">
      <formula>#REF!</formula>
    </cfRule>
  </conditionalFormatting>
  <conditionalFormatting sqref="D66:D67">
    <cfRule type="expression" dxfId="169" priority="142">
      <formula>#REF!</formula>
    </cfRule>
  </conditionalFormatting>
  <conditionalFormatting sqref="D65">
    <cfRule type="expression" dxfId="168" priority="140">
      <formula>#REF!</formula>
    </cfRule>
  </conditionalFormatting>
  <conditionalFormatting sqref="B79:D1048576 B77:B78 D77:D78 E49:G76 E48:F48 B61:D76 D47:D60 B1:D46 E9:G47 H9:AE76">
    <cfRule type="expression" dxfId="167" priority="130">
      <formula>$C$8="deactive"</formula>
    </cfRule>
  </conditionalFormatting>
  <conditionalFormatting sqref="G76:G77 G63:G64 G68:G73 G80:G82 G49:G61 G8:G47 J8:J61 M8:M61 P8:P61 S8:S61 V8:V61 Y8:Y61 AB8:AB61 AE8:AE61">
    <cfRule type="expression" dxfId="166" priority="129">
      <formula>#REF!</formula>
    </cfRule>
  </conditionalFormatting>
  <conditionalFormatting sqref="G83">
    <cfRule type="expression" dxfId="165" priority="128">
      <formula>#REF!</formula>
    </cfRule>
  </conditionalFormatting>
  <conditionalFormatting sqref="G86:G87">
    <cfRule type="expression" dxfId="164" priority="127">
      <formula>#REF!</formula>
    </cfRule>
  </conditionalFormatting>
  <conditionalFormatting sqref="G78">
    <cfRule type="expression" dxfId="163" priority="126">
      <formula>#REF!</formula>
    </cfRule>
  </conditionalFormatting>
  <conditionalFormatting sqref="G74">
    <cfRule type="expression" dxfId="162" priority="125">
      <formula>#REF!</formula>
    </cfRule>
  </conditionalFormatting>
  <conditionalFormatting sqref="G84">
    <cfRule type="expression" dxfId="161" priority="124">
      <formula>#REF!</formula>
    </cfRule>
  </conditionalFormatting>
  <conditionalFormatting sqref="G88:G89">
    <cfRule type="expression" dxfId="160" priority="123">
      <formula>#REF!</formula>
    </cfRule>
  </conditionalFormatting>
  <conditionalFormatting sqref="G66:G67">
    <cfRule type="expression" dxfId="159" priority="122">
      <formula>#REF!</formula>
    </cfRule>
  </conditionalFormatting>
  <conditionalFormatting sqref="G65">
    <cfRule type="expression" dxfId="158" priority="121">
      <formula>#REF!</formula>
    </cfRule>
  </conditionalFormatting>
  <conditionalFormatting sqref="E6:G7 E8 G8 E79:G1048576 E77:E78 G77:G78">
    <cfRule type="expression" dxfId="157" priority="120">
      <formula>$C$8="deactive"</formula>
    </cfRule>
  </conditionalFormatting>
  <conditionalFormatting sqref="J76:J77 J63:J64 J68:J73 J80:J82">
    <cfRule type="expression" dxfId="156" priority="119">
      <formula>#REF!</formula>
    </cfRule>
  </conditionalFormatting>
  <conditionalFormatting sqref="J83">
    <cfRule type="expression" dxfId="155" priority="118">
      <formula>#REF!</formula>
    </cfRule>
  </conditionalFormatting>
  <conditionalFormatting sqref="J86:J87">
    <cfRule type="expression" dxfId="154" priority="117">
      <formula>#REF!</formula>
    </cfRule>
  </conditionalFormatting>
  <conditionalFormatting sqref="J78">
    <cfRule type="expression" dxfId="153" priority="116">
      <formula>#REF!</formula>
    </cfRule>
  </conditionalFormatting>
  <conditionalFormatting sqref="J74">
    <cfRule type="expression" dxfId="152" priority="115">
      <formula>#REF!</formula>
    </cfRule>
  </conditionalFormatting>
  <conditionalFormatting sqref="J84">
    <cfRule type="expression" dxfId="151" priority="114">
      <formula>#REF!</formula>
    </cfRule>
  </conditionalFormatting>
  <conditionalFormatting sqref="J88:J89">
    <cfRule type="expression" dxfId="150" priority="113">
      <formula>#REF!</formula>
    </cfRule>
  </conditionalFormatting>
  <conditionalFormatting sqref="J66:J67">
    <cfRule type="expression" dxfId="149" priority="112">
      <formula>#REF!</formula>
    </cfRule>
  </conditionalFormatting>
  <conditionalFormatting sqref="J65">
    <cfRule type="expression" dxfId="148" priority="111">
      <formula>#REF!</formula>
    </cfRule>
  </conditionalFormatting>
  <conditionalFormatting sqref="H6:J7 H8 J8 H79:J1048576 H77:H78 J77:J78">
    <cfRule type="expression" dxfId="147" priority="110">
      <formula>$C$8="deactive"</formula>
    </cfRule>
  </conditionalFormatting>
  <conditionalFormatting sqref="M76:M77 M63:M64 M68:M73 M80:M82">
    <cfRule type="expression" dxfId="146" priority="109">
      <formula>#REF!</formula>
    </cfRule>
  </conditionalFormatting>
  <conditionalFormatting sqref="M83">
    <cfRule type="expression" dxfId="145" priority="108">
      <formula>#REF!</formula>
    </cfRule>
  </conditionalFormatting>
  <conditionalFormatting sqref="M86:M87">
    <cfRule type="expression" dxfId="144" priority="107">
      <formula>#REF!</formula>
    </cfRule>
  </conditionalFormatting>
  <conditionalFormatting sqref="M78">
    <cfRule type="expression" dxfId="143" priority="106">
      <formula>#REF!</formula>
    </cfRule>
  </conditionalFormatting>
  <conditionalFormatting sqref="M74">
    <cfRule type="expression" dxfId="142" priority="105">
      <formula>#REF!</formula>
    </cfRule>
  </conditionalFormatting>
  <conditionalFormatting sqref="M84">
    <cfRule type="expression" dxfId="141" priority="104">
      <formula>#REF!</formula>
    </cfRule>
  </conditionalFormatting>
  <conditionalFormatting sqref="M88:M89">
    <cfRule type="expression" dxfId="140" priority="103">
      <formula>#REF!</formula>
    </cfRule>
  </conditionalFormatting>
  <conditionalFormatting sqref="M66:M67">
    <cfRule type="expression" dxfId="139" priority="102">
      <formula>#REF!</formula>
    </cfRule>
  </conditionalFormatting>
  <conditionalFormatting sqref="M65">
    <cfRule type="expression" dxfId="138" priority="101">
      <formula>#REF!</formula>
    </cfRule>
  </conditionalFormatting>
  <conditionalFormatting sqref="K6:M7 K8 M8 K79:M1048576 K77:K78 M77:M78">
    <cfRule type="expression" dxfId="137" priority="100">
      <formula>$C$8="deactive"</formula>
    </cfRule>
  </conditionalFormatting>
  <conditionalFormatting sqref="P76:P77 P63:P64 P68:P73 P80:P82">
    <cfRule type="expression" dxfId="136" priority="99">
      <formula>#REF!</formula>
    </cfRule>
  </conditionalFormatting>
  <conditionalFormatting sqref="P83">
    <cfRule type="expression" dxfId="135" priority="98">
      <formula>#REF!</formula>
    </cfRule>
  </conditionalFormatting>
  <conditionalFormatting sqref="P86:P87">
    <cfRule type="expression" dxfId="134" priority="97">
      <formula>#REF!</formula>
    </cfRule>
  </conditionalFormatting>
  <conditionalFormatting sqref="P78">
    <cfRule type="expression" dxfId="133" priority="96">
      <formula>#REF!</formula>
    </cfRule>
  </conditionalFormatting>
  <conditionalFormatting sqref="P74">
    <cfRule type="expression" dxfId="132" priority="95">
      <formula>#REF!</formula>
    </cfRule>
  </conditionalFormatting>
  <conditionalFormatting sqref="P84">
    <cfRule type="expression" dxfId="131" priority="94">
      <formula>#REF!</formula>
    </cfRule>
  </conditionalFormatting>
  <conditionalFormatting sqref="P88:P89">
    <cfRule type="expression" dxfId="130" priority="93">
      <formula>#REF!</formula>
    </cfRule>
  </conditionalFormatting>
  <conditionalFormatting sqref="P66:P67">
    <cfRule type="expression" dxfId="129" priority="92">
      <formula>#REF!</formula>
    </cfRule>
  </conditionalFormatting>
  <conditionalFormatting sqref="P65">
    <cfRule type="expression" dxfId="128" priority="91">
      <formula>#REF!</formula>
    </cfRule>
  </conditionalFormatting>
  <conditionalFormatting sqref="N6:P7 N8 P8 N79:P1048576 N77:N78 P77:P78">
    <cfRule type="expression" dxfId="127" priority="90">
      <formula>$C$8="deactive"</formula>
    </cfRule>
  </conditionalFormatting>
  <conditionalFormatting sqref="S76:S77 S63:S64 S68:S73 S80:S82">
    <cfRule type="expression" dxfId="126" priority="89">
      <formula>#REF!</formula>
    </cfRule>
  </conditionalFormatting>
  <conditionalFormatting sqref="S83">
    <cfRule type="expression" dxfId="125" priority="88">
      <formula>#REF!</formula>
    </cfRule>
  </conditionalFormatting>
  <conditionalFormatting sqref="S86:S87">
    <cfRule type="expression" dxfId="124" priority="87">
      <formula>#REF!</formula>
    </cfRule>
  </conditionalFormatting>
  <conditionalFormatting sqref="S78">
    <cfRule type="expression" dxfId="123" priority="86">
      <formula>#REF!</formula>
    </cfRule>
  </conditionalFormatting>
  <conditionalFormatting sqref="S74">
    <cfRule type="expression" dxfId="122" priority="85">
      <formula>#REF!</formula>
    </cfRule>
  </conditionalFormatting>
  <conditionalFormatting sqref="S84">
    <cfRule type="expression" dxfId="121" priority="84">
      <formula>#REF!</formula>
    </cfRule>
  </conditionalFormatting>
  <conditionalFormatting sqref="S88:S89">
    <cfRule type="expression" dxfId="120" priority="83">
      <formula>#REF!</formula>
    </cfRule>
  </conditionalFormatting>
  <conditionalFormatting sqref="S66:S67">
    <cfRule type="expression" dxfId="119" priority="82">
      <formula>#REF!</formula>
    </cfRule>
  </conditionalFormatting>
  <conditionalFormatting sqref="S65">
    <cfRule type="expression" dxfId="118" priority="81">
      <formula>#REF!</formula>
    </cfRule>
  </conditionalFormatting>
  <conditionalFormatting sqref="Q6:S7 Q8 S8 Q79:S1048576 Q77:Q78 S77:S78">
    <cfRule type="expression" dxfId="117" priority="80">
      <formula>$C$8="deactive"</formula>
    </cfRule>
  </conditionalFormatting>
  <conditionalFormatting sqref="V76:V77 V63:V64 V68:V73 V80:V82">
    <cfRule type="expression" dxfId="116" priority="79">
      <formula>#REF!</formula>
    </cfRule>
  </conditionalFormatting>
  <conditionalFormatting sqref="V83">
    <cfRule type="expression" dxfId="115" priority="78">
      <formula>#REF!</formula>
    </cfRule>
  </conditionalFormatting>
  <conditionalFormatting sqref="V86:V87">
    <cfRule type="expression" dxfId="114" priority="77">
      <formula>#REF!</formula>
    </cfRule>
  </conditionalFormatting>
  <conditionalFormatting sqref="V78">
    <cfRule type="expression" dxfId="113" priority="76">
      <formula>#REF!</formula>
    </cfRule>
  </conditionalFormatting>
  <conditionalFormatting sqref="V74">
    <cfRule type="expression" dxfId="112" priority="75">
      <formula>#REF!</formula>
    </cfRule>
  </conditionalFormatting>
  <conditionalFormatting sqref="V84">
    <cfRule type="expression" dxfId="111" priority="74">
      <formula>#REF!</formula>
    </cfRule>
  </conditionalFormatting>
  <conditionalFormatting sqref="V88:V89">
    <cfRule type="expression" dxfId="110" priority="73">
      <formula>#REF!</formula>
    </cfRule>
  </conditionalFormatting>
  <conditionalFormatting sqref="V66:V67">
    <cfRule type="expression" dxfId="109" priority="72">
      <formula>#REF!</formula>
    </cfRule>
  </conditionalFormatting>
  <conditionalFormatting sqref="V65">
    <cfRule type="expression" dxfId="108" priority="71">
      <formula>#REF!</formula>
    </cfRule>
  </conditionalFormatting>
  <conditionalFormatting sqref="T6:V7 T8 V8 T79:V1048576 T77:T78 V77:V78">
    <cfRule type="expression" dxfId="107" priority="70">
      <formula>$C$8="deactive"</formula>
    </cfRule>
  </conditionalFormatting>
  <conditionalFormatting sqref="Y76:Y77 Y63:Y64 Y68:Y73 Y80:Y82">
    <cfRule type="expression" dxfId="106" priority="69">
      <formula>#REF!</formula>
    </cfRule>
  </conditionalFormatting>
  <conditionalFormatting sqref="Y83">
    <cfRule type="expression" dxfId="105" priority="68">
      <formula>#REF!</formula>
    </cfRule>
  </conditionalFormatting>
  <conditionalFormatting sqref="Y86:Y87">
    <cfRule type="expression" dxfId="104" priority="67">
      <formula>#REF!</formula>
    </cfRule>
  </conditionalFormatting>
  <conditionalFormatting sqref="Y78">
    <cfRule type="expression" dxfId="103" priority="66">
      <formula>#REF!</formula>
    </cfRule>
  </conditionalFormatting>
  <conditionalFormatting sqref="Y74">
    <cfRule type="expression" dxfId="102" priority="65">
      <formula>#REF!</formula>
    </cfRule>
  </conditionalFormatting>
  <conditionalFormatting sqref="Y84">
    <cfRule type="expression" dxfId="101" priority="64">
      <formula>#REF!</formula>
    </cfRule>
  </conditionalFormatting>
  <conditionalFormatting sqref="Y88:Y89">
    <cfRule type="expression" dxfId="100" priority="63">
      <formula>#REF!</formula>
    </cfRule>
  </conditionalFormatting>
  <conditionalFormatting sqref="Y66:Y67">
    <cfRule type="expression" dxfId="99" priority="62">
      <formula>#REF!</formula>
    </cfRule>
  </conditionalFormatting>
  <conditionalFormatting sqref="Y65">
    <cfRule type="expression" dxfId="98" priority="61">
      <formula>#REF!</formula>
    </cfRule>
  </conditionalFormatting>
  <conditionalFormatting sqref="W6:Y7 W8 Y8 W79:Y1048576 W77:W78 Y77:Y78">
    <cfRule type="expression" dxfId="97" priority="60">
      <formula>$C$8="deactive"</formula>
    </cfRule>
  </conditionalFormatting>
  <conditionalFormatting sqref="AB76:AB77 AB63:AB64 AB68:AB73 AB80:AB82">
    <cfRule type="expression" dxfId="96" priority="59">
      <formula>#REF!</formula>
    </cfRule>
  </conditionalFormatting>
  <conditionalFormatting sqref="AB83">
    <cfRule type="expression" dxfId="95" priority="58">
      <formula>#REF!</formula>
    </cfRule>
  </conditionalFormatting>
  <conditionalFormatting sqref="AB86:AB87">
    <cfRule type="expression" dxfId="94" priority="57">
      <formula>#REF!</formula>
    </cfRule>
  </conditionalFormatting>
  <conditionalFormatting sqref="AB78">
    <cfRule type="expression" dxfId="93" priority="56">
      <formula>#REF!</formula>
    </cfRule>
  </conditionalFormatting>
  <conditionalFormatting sqref="AB74">
    <cfRule type="expression" dxfId="92" priority="55">
      <formula>#REF!</formula>
    </cfRule>
  </conditionalFormatting>
  <conditionalFormatting sqref="AB84">
    <cfRule type="expression" dxfId="91" priority="54">
      <formula>#REF!</formula>
    </cfRule>
  </conditionalFormatting>
  <conditionalFormatting sqref="AB88:AB89">
    <cfRule type="expression" dxfId="90" priority="53">
      <formula>#REF!</formula>
    </cfRule>
  </conditionalFormatting>
  <conditionalFormatting sqref="AB66:AB67">
    <cfRule type="expression" dxfId="89" priority="52">
      <formula>#REF!</formula>
    </cfRule>
  </conditionalFormatting>
  <conditionalFormatting sqref="AB65">
    <cfRule type="expression" dxfId="88" priority="51">
      <formula>#REF!</formula>
    </cfRule>
  </conditionalFormatting>
  <conditionalFormatting sqref="Z6:AB7 Z8 AB8 Z79:AB1048576 Z77:Z78 AB77:AB78">
    <cfRule type="expression" dxfId="87" priority="50">
      <formula>$C$8="deactive"</formula>
    </cfRule>
  </conditionalFormatting>
  <conditionalFormatting sqref="AE76:AE77 AE63:AE64 AE68:AE73 AE80:AE82">
    <cfRule type="expression" dxfId="86" priority="49">
      <formula>#REF!</formula>
    </cfRule>
  </conditionalFormatting>
  <conditionalFormatting sqref="AE83">
    <cfRule type="expression" dxfId="85" priority="48">
      <formula>#REF!</formula>
    </cfRule>
  </conditionalFormatting>
  <conditionalFormatting sqref="AE86:AE87">
    <cfRule type="expression" dxfId="84" priority="47">
      <formula>#REF!</formula>
    </cfRule>
  </conditionalFormatting>
  <conditionalFormatting sqref="AE78">
    <cfRule type="expression" dxfId="83" priority="46">
      <formula>#REF!</formula>
    </cfRule>
  </conditionalFormatting>
  <conditionalFormatting sqref="AE74">
    <cfRule type="expression" dxfId="82" priority="45">
      <formula>#REF!</formula>
    </cfRule>
  </conditionalFormatting>
  <conditionalFormatting sqref="AE84">
    <cfRule type="expression" dxfId="81" priority="44">
      <formula>#REF!</formula>
    </cfRule>
  </conditionalFormatting>
  <conditionalFormatting sqref="AE88:AE89">
    <cfRule type="expression" dxfId="80" priority="43">
      <formula>#REF!</formula>
    </cfRule>
  </conditionalFormatting>
  <conditionalFormatting sqref="AE66:AE67">
    <cfRule type="expression" dxfId="79" priority="42">
      <formula>#REF!</formula>
    </cfRule>
  </conditionalFormatting>
  <conditionalFormatting sqref="AE65">
    <cfRule type="expression" dxfId="78" priority="41">
      <formula>#REF!</formula>
    </cfRule>
  </conditionalFormatting>
  <conditionalFormatting sqref="AC6:AE7 AC8 AE8 AC79:AE1048576 AC77:AC78 AE77:AE78">
    <cfRule type="expression" dxfId="77" priority="40">
      <formula>$C$8="deactive"</formula>
    </cfRule>
  </conditionalFormatting>
  <conditionalFormatting sqref="E1:G7 E8 G8 E79:G1048576 E77:E78 G77:G78 E49:G76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79:J1048576 H77:H78 J77:J78 H1:J76">
    <cfRule type="expression" dxfId="66" priority="29">
      <formula>$I$8="deactive"</formula>
    </cfRule>
  </conditionalFormatting>
  <conditionalFormatting sqref="K79:M1048576 K77:K78 M77:M78 K1:M76">
    <cfRule type="expression" dxfId="65" priority="28">
      <formula>$L$8="deactive"</formula>
    </cfRule>
  </conditionalFormatting>
  <conditionalFormatting sqref="N79:P1048576 N77:N78 P77:P78 N1:P76">
    <cfRule type="expression" dxfId="64" priority="27">
      <formula>$O$8="deactive"</formula>
    </cfRule>
  </conditionalFormatting>
  <conditionalFormatting sqref="Q79:S1048576 Q77:Q78 S77:S78 Q1:S76">
    <cfRule type="expression" dxfId="63" priority="26">
      <formula>$R$8="deactive"</formula>
    </cfRule>
  </conditionalFormatting>
  <conditionalFormatting sqref="T79:V1048576 T77:T78 V77:V78 T1:V76">
    <cfRule type="expression" dxfId="62" priority="25">
      <formula>$U$8="deactive"</formula>
    </cfRule>
  </conditionalFormatting>
  <conditionalFormatting sqref="W79:Y1048576 W77:W78 Y77:Y78 W1:Y76">
    <cfRule type="expression" dxfId="61" priority="24">
      <formula>$X$8="deactive"</formula>
    </cfRule>
  </conditionalFormatting>
  <conditionalFormatting sqref="Z79:AB1048576 Z77:Z78 AB77:AB78 Z1:AB76">
    <cfRule type="expression" dxfId="60" priority="23">
      <formula>$AA$8="deactive"</formula>
    </cfRule>
  </conditionalFormatting>
  <conditionalFormatting sqref="AC79:AE1048576 AC77:AC78 AE77:AE78 AC1:AE76">
    <cfRule type="expression" dxfId="59" priority="22">
      <formula>$AD$8="deactive"</formula>
    </cfRule>
  </conditionalFormatting>
  <conditionalFormatting sqref="C77:C78">
    <cfRule type="expression" dxfId="58" priority="20">
      <formula>$C$8="deactive"</formula>
    </cfRule>
  </conditionalFormatting>
  <conditionalFormatting sqref="F77">
    <cfRule type="expression" dxfId="57" priority="19">
      <formula>$C$8="deactive"</formula>
    </cfRule>
  </conditionalFormatting>
  <conditionalFormatting sqref="F78">
    <cfRule type="expression" dxfId="56" priority="18">
      <formula>$C$8="deactive"</formula>
    </cfRule>
  </conditionalFormatting>
  <conditionalFormatting sqref="I77">
    <cfRule type="expression" dxfId="55" priority="17">
      <formula>$C$8="deactive"</formula>
    </cfRule>
  </conditionalFormatting>
  <conditionalFormatting sqref="I78">
    <cfRule type="expression" dxfId="54" priority="16">
      <formula>$C$8="deactive"</formula>
    </cfRule>
  </conditionalFormatting>
  <conditionalFormatting sqref="L77">
    <cfRule type="expression" dxfId="53" priority="15">
      <formula>$C$8="deactive"</formula>
    </cfRule>
  </conditionalFormatting>
  <conditionalFormatting sqref="L78">
    <cfRule type="expression" dxfId="52" priority="14">
      <formula>$C$8="deactive"</formula>
    </cfRule>
  </conditionalFormatting>
  <conditionalFormatting sqref="O77">
    <cfRule type="expression" dxfId="51" priority="13">
      <formula>$C$8="deactive"</formula>
    </cfRule>
  </conditionalFormatting>
  <conditionalFormatting sqref="O78">
    <cfRule type="expression" dxfId="50" priority="12">
      <formula>$C$8="deactive"</formula>
    </cfRule>
  </conditionalFormatting>
  <conditionalFormatting sqref="R77">
    <cfRule type="expression" dxfId="49" priority="11">
      <formula>$C$8="deactive"</formula>
    </cfRule>
  </conditionalFormatting>
  <conditionalFormatting sqref="R78">
    <cfRule type="expression" dxfId="48" priority="10">
      <formula>$C$8="deactive"</formula>
    </cfRule>
  </conditionalFormatting>
  <conditionalFormatting sqref="U77">
    <cfRule type="expression" dxfId="47" priority="9">
      <formula>$C$8="deactive"</formula>
    </cfRule>
  </conditionalFormatting>
  <conditionalFormatting sqref="U78">
    <cfRule type="expression" dxfId="46" priority="8">
      <formula>$C$8="deactive"</formula>
    </cfRule>
  </conditionalFormatting>
  <conditionalFormatting sqref="X77">
    <cfRule type="expression" dxfId="45" priority="7">
      <formula>$C$8="deactive"</formula>
    </cfRule>
  </conditionalFormatting>
  <conditionalFormatting sqref="X78">
    <cfRule type="expression" dxfId="44" priority="6">
      <formula>$C$8="deactive"</formula>
    </cfRule>
  </conditionalFormatting>
  <conditionalFormatting sqref="AA77">
    <cfRule type="expression" dxfId="43" priority="5">
      <formula>$C$8="deactive"</formula>
    </cfRule>
  </conditionalFormatting>
  <conditionalFormatting sqref="AA78">
    <cfRule type="expression" dxfId="42" priority="4">
      <formula>$C$8="deactive"</formula>
    </cfRule>
  </conditionalFormatting>
  <conditionalFormatting sqref="AD77">
    <cfRule type="expression" dxfId="41" priority="3">
      <formula>$C$8="deactive"</formula>
    </cfRule>
  </conditionalFormatting>
  <conditionalFormatting sqref="AD78">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5 G41:G42 G65 J41:J42 J65 M41:M42 M65 P41:P42 P65 S41:S42 S65 V41:V42 V65 Y41:Y42 Y65 AB41:AB42 AB65 AE41: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7">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IF($C$9="cattle",parms_list!$L$2:$L$1000,IF($C$9="pig",parms_list!$K$2:$K$42,parms_list!$L$2:$L$1000))</xm:f>
          </x14:formula1>
          <xm:sqref>B60</xm:sqref>
        </x14:dataValidation>
        <x14:dataValidation type="list" allowBlank="1" showInputMessage="1" showErrorMessage="1" xr:uid="{B1E5D30C-4A31-4DB0-953E-64862D2A5524}">
          <x14:formula1>
            <xm:f>IF($C$9="cattle",parms_list!$L$2:$L$1000,IF($C$9="pig",parms_list!$K$2:$K$42,parms_list!$L$2:$L$1000))</xm:f>
          </x14:formula1>
          <xm:sqref>B47 B48 B49 B50 B51 B52 B53 B54 B55 B56 B57 B58 B59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48</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A2" zoomScale="70" zoomScaleNormal="70" workbookViewId="0">
      <selection activeCell="L104" sqref="L104"/>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3.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2024-12-03T08:29:32Z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