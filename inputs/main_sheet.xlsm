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131" documentId="13_ncr:1_{8D7ACF61-F90E-466D-9FF8-9D76AE1815CE}" xr6:coauthVersionLast="47" xr6:coauthVersionMax="47" xr10:uidLastSave="{1979B5F6-21D7-4FC9-9B42-BC6F5BE36C8D}"/>
  <bookViews>
    <workbookView xWindow="-120" yWindow="-120" windowWidth="29040" windowHeight="1572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2" i="14" l="1"/>
  <c r="E55" i="16" l="1"/>
  <c r="D55" i="16"/>
  <c r="AD78" i="14"/>
  <c r="AD77" i="14"/>
  <c r="AA78" i="14"/>
  <c r="AA77" i="14"/>
  <c r="X78" i="14"/>
  <c r="X77" i="14"/>
  <c r="U78" i="14"/>
  <c r="U77" i="14"/>
  <c r="R78" i="14"/>
  <c r="R77" i="14"/>
  <c r="O78" i="14"/>
  <c r="O77" i="14"/>
  <c r="L78" i="14"/>
  <c r="L77" i="14"/>
  <c r="I78" i="14"/>
  <c r="I77" i="14"/>
  <c r="F78" i="14"/>
  <c r="F77" i="14"/>
  <c r="C78" i="14"/>
  <c r="C77"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3" i="14"/>
  <c r="AD71" i="14"/>
  <c r="AD70" i="14"/>
  <c r="AD69" i="14"/>
  <c r="AD68" i="14"/>
  <c r="AD67" i="14"/>
  <c r="AD66" i="14"/>
  <c r="AD65" i="14"/>
  <c r="AD64" i="14"/>
  <c r="AD61" i="14"/>
  <c r="AE61" i="14" s="1"/>
  <c r="AD44" i="14"/>
  <c r="AD27" i="14"/>
  <c r="AD14" i="14"/>
  <c r="AD13" i="14"/>
  <c r="AD12" i="14"/>
  <c r="AD11" i="14"/>
  <c r="AD10" i="14"/>
  <c r="AD41" i="14" s="1"/>
  <c r="AD9" i="14"/>
  <c r="AD84" i="14" s="1"/>
  <c r="AA73" i="14"/>
  <c r="AA71" i="14"/>
  <c r="AA70" i="14"/>
  <c r="AA69" i="14"/>
  <c r="AA68" i="14"/>
  <c r="AA67" i="14"/>
  <c r="AA66" i="14"/>
  <c r="AA65" i="14"/>
  <c r="AA64" i="14"/>
  <c r="AA61" i="14"/>
  <c r="AB61" i="14" s="1"/>
  <c r="AA44" i="14"/>
  <c r="AA27" i="14"/>
  <c r="AA23" i="14"/>
  <c r="AA14" i="14"/>
  <c r="AA13" i="14"/>
  <c r="AA12" i="14"/>
  <c r="AA11" i="14"/>
  <c r="AA10" i="14"/>
  <c r="AA41" i="14" s="1"/>
  <c r="AA9" i="14"/>
  <c r="AA88" i="14" s="1"/>
  <c r="X73" i="14"/>
  <c r="X71" i="14"/>
  <c r="X70" i="14"/>
  <c r="X69" i="14"/>
  <c r="X68" i="14"/>
  <c r="X67" i="14"/>
  <c r="X66" i="14"/>
  <c r="X65" i="14"/>
  <c r="X64" i="14"/>
  <c r="X61" i="14"/>
  <c r="Y61" i="14" s="1"/>
  <c r="X44" i="14"/>
  <c r="X27" i="14"/>
  <c r="X14" i="14"/>
  <c r="X13" i="14"/>
  <c r="X12" i="14"/>
  <c r="X11" i="14"/>
  <c r="X10" i="14"/>
  <c r="X41" i="14" s="1"/>
  <c r="X9" i="14"/>
  <c r="X84" i="14" s="1"/>
  <c r="U73" i="14"/>
  <c r="U71" i="14"/>
  <c r="U70" i="14"/>
  <c r="U69" i="14"/>
  <c r="U68" i="14"/>
  <c r="U67" i="14"/>
  <c r="U66" i="14"/>
  <c r="U65" i="14"/>
  <c r="U64" i="14"/>
  <c r="U61" i="14"/>
  <c r="V61" i="14" s="1"/>
  <c r="U44" i="14"/>
  <c r="U27" i="14"/>
  <c r="U14" i="14"/>
  <c r="U13" i="14"/>
  <c r="U12" i="14"/>
  <c r="U11" i="14"/>
  <c r="U10" i="14"/>
  <c r="U41" i="14" s="1"/>
  <c r="U9" i="14"/>
  <c r="U88" i="14" s="1"/>
  <c r="R73" i="14"/>
  <c r="R71" i="14"/>
  <c r="R70" i="14"/>
  <c r="R69" i="14"/>
  <c r="R68" i="14"/>
  <c r="R67" i="14"/>
  <c r="R66" i="14"/>
  <c r="R65" i="14"/>
  <c r="R64" i="14"/>
  <c r="R61" i="14"/>
  <c r="S61" i="14" s="1"/>
  <c r="R44" i="14"/>
  <c r="R27" i="14"/>
  <c r="R14" i="14"/>
  <c r="R13" i="14"/>
  <c r="R12" i="14"/>
  <c r="R11" i="14"/>
  <c r="R10" i="14"/>
  <c r="R9" i="14"/>
  <c r="R84" i="14" s="1"/>
  <c r="O73" i="14"/>
  <c r="O71" i="14"/>
  <c r="O70" i="14"/>
  <c r="O69" i="14"/>
  <c r="O68" i="14"/>
  <c r="O67" i="14"/>
  <c r="O66" i="14"/>
  <c r="O65" i="14"/>
  <c r="O64" i="14"/>
  <c r="O61" i="14"/>
  <c r="P61" i="14" s="1"/>
  <c r="O44" i="14"/>
  <c r="O27" i="14"/>
  <c r="O14" i="14"/>
  <c r="O13" i="14"/>
  <c r="O12" i="14"/>
  <c r="O24" i="14" s="1"/>
  <c r="O11" i="14"/>
  <c r="O10" i="14"/>
  <c r="O9" i="14"/>
  <c r="O87" i="14" s="1"/>
  <c r="L73" i="14"/>
  <c r="L71" i="14"/>
  <c r="L70" i="14"/>
  <c r="L69" i="14"/>
  <c r="L68" i="14"/>
  <c r="L67" i="14"/>
  <c r="L66" i="14"/>
  <c r="L65" i="14"/>
  <c r="L64" i="14"/>
  <c r="L61" i="14"/>
  <c r="M61" i="14" s="1"/>
  <c r="L44" i="14"/>
  <c r="L43" i="14"/>
  <c r="L27" i="14"/>
  <c r="L14" i="14"/>
  <c r="L13" i="14"/>
  <c r="L12" i="14"/>
  <c r="L11" i="14"/>
  <c r="L10" i="14"/>
  <c r="L41" i="14" s="1"/>
  <c r="L9" i="14"/>
  <c r="L87" i="14" s="1"/>
  <c r="I73" i="14"/>
  <c r="I71" i="14"/>
  <c r="I70" i="14"/>
  <c r="I69" i="14"/>
  <c r="I68" i="14"/>
  <c r="I67" i="14"/>
  <c r="I66" i="14"/>
  <c r="I65" i="14"/>
  <c r="I64" i="14"/>
  <c r="I61" i="14"/>
  <c r="J61" i="14" s="1"/>
  <c r="I44" i="14"/>
  <c r="I27" i="14"/>
  <c r="I14" i="14"/>
  <c r="I13" i="14"/>
  <c r="I12" i="14"/>
  <c r="I11" i="14"/>
  <c r="I10" i="14"/>
  <c r="I9" i="14"/>
  <c r="I84" i="14" s="1"/>
  <c r="F73" i="14"/>
  <c r="F71" i="14"/>
  <c r="F70" i="14"/>
  <c r="F69" i="14"/>
  <c r="F68" i="14"/>
  <c r="F67" i="14"/>
  <c r="F66" i="14"/>
  <c r="F65" i="14"/>
  <c r="F64" i="14"/>
  <c r="F61" i="14"/>
  <c r="G61" i="14" s="1"/>
  <c r="F44" i="14"/>
  <c r="F27" i="14"/>
  <c r="F14" i="14"/>
  <c r="F13" i="14"/>
  <c r="F12" i="14"/>
  <c r="F89" i="14" s="1"/>
  <c r="F11" i="14"/>
  <c r="F10" i="14"/>
  <c r="F41" i="14" s="1"/>
  <c r="F9" i="14"/>
  <c r="F37" i="14" s="1"/>
  <c r="C87" i="11"/>
  <c r="C71" i="11"/>
  <c r="C69" i="11"/>
  <c r="C67" i="11"/>
  <c r="C83" i="11"/>
  <c r="C81" i="11"/>
  <c r="C79" i="11"/>
  <c r="C77" i="11"/>
  <c r="C75" i="11"/>
  <c r="C65" i="11"/>
  <c r="C89" i="11" s="1"/>
  <c r="C37" i="11"/>
  <c r="C61" i="11" s="1"/>
  <c r="C186" i="16"/>
  <c r="C14" i="14"/>
  <c r="C13" i="14"/>
  <c r="C12" i="14"/>
  <c r="C10" i="14"/>
  <c r="C43" i="14" s="1"/>
  <c r="C9" i="14"/>
  <c r="C82" i="14" s="1"/>
  <c r="C71" i="14"/>
  <c r="C68" i="14"/>
  <c r="C66" i="14"/>
  <c r="C64" i="14"/>
  <c r="C27" i="14"/>
  <c r="C34" i="11"/>
  <c r="C32" i="11"/>
  <c r="C26" i="11"/>
  <c r="C24" i="11"/>
  <c r="C22" i="11"/>
  <c r="C33" i="11"/>
  <c r="C31" i="11"/>
  <c r="C29" i="11"/>
  <c r="C28" i="11"/>
  <c r="C25" i="11"/>
  <c r="C23" i="11"/>
  <c r="C21" i="11"/>
  <c r="C20" i="11"/>
  <c r="C15" i="11"/>
  <c r="C14" i="11"/>
  <c r="C10" i="11"/>
  <c r="C9" i="11"/>
  <c r="C65" i="14"/>
  <c r="C69" i="14"/>
  <c r="C70" i="14"/>
  <c r="L74" i="14" l="1"/>
  <c r="R89" i="14"/>
  <c r="X87" i="14"/>
  <c r="F17" i="14"/>
  <c r="F18" i="14" s="1"/>
  <c r="F19" i="14"/>
  <c r="O38" i="14"/>
  <c r="AD89" i="14"/>
  <c r="I74" i="14"/>
  <c r="I87" i="14"/>
  <c r="I88" i="14"/>
  <c r="L29" i="14"/>
  <c r="X21" i="14"/>
  <c r="AA40" i="14"/>
  <c r="O81" i="14"/>
  <c r="X37" i="14"/>
  <c r="AD29" i="14"/>
  <c r="O21" i="14"/>
  <c r="O40" i="14"/>
  <c r="U21" i="14"/>
  <c r="AD43" i="14"/>
  <c r="R83" i="14"/>
  <c r="X74" i="14"/>
  <c r="U97" i="11"/>
  <c r="O17" i="14"/>
  <c r="O18" i="14" s="1"/>
  <c r="O23" i="14"/>
  <c r="R87" i="14"/>
  <c r="X83" i="14"/>
  <c r="O25" i="14"/>
  <c r="O26" i="14"/>
  <c r="O74" i="14"/>
  <c r="X35" i="14"/>
  <c r="X88" i="14"/>
  <c r="F29" i="14"/>
  <c r="I83" i="14"/>
  <c r="L89" i="14"/>
  <c r="O41" i="14"/>
  <c r="O88" i="14"/>
  <c r="R74" i="14"/>
  <c r="U43" i="14"/>
  <c r="W36" i="14"/>
  <c r="X81" i="14"/>
  <c r="AA24" i="14"/>
  <c r="L97" i="11"/>
  <c r="R97" i="11"/>
  <c r="X97" i="11"/>
  <c r="R29" i="14"/>
  <c r="U89" i="14"/>
  <c r="F20" i="14"/>
  <c r="I37" i="14"/>
  <c r="O30" i="14"/>
  <c r="O31" i="14" s="1"/>
  <c r="R37" i="14"/>
  <c r="R88" i="14"/>
  <c r="X89" i="14"/>
  <c r="X43" i="14"/>
  <c r="AA29" i="14"/>
  <c r="AA28" i="14"/>
  <c r="AD35" i="14"/>
  <c r="AD74" i="14"/>
  <c r="AA25" i="14"/>
  <c r="L35" i="14"/>
  <c r="AA17" i="14"/>
  <c r="AA18" i="14" s="1"/>
  <c r="AA35" i="14"/>
  <c r="AD87" i="14"/>
  <c r="I97" i="11"/>
  <c r="O43" i="14"/>
  <c r="F25" i="14"/>
  <c r="O35" i="14"/>
  <c r="L88" i="14"/>
  <c r="O29" i="14"/>
  <c r="N36" i="14"/>
  <c r="U87" i="14"/>
  <c r="X29" i="14"/>
  <c r="AA19" i="14"/>
  <c r="AD88" i="14"/>
  <c r="O97" i="11"/>
  <c r="AA97" i="11"/>
  <c r="AD97" i="11"/>
  <c r="I29" i="14"/>
  <c r="O89" i="14"/>
  <c r="AA89" i="14"/>
  <c r="F28" i="14"/>
  <c r="U35" i="14"/>
  <c r="AA20" i="14"/>
  <c r="AA43" i="14"/>
  <c r="F97" i="11"/>
  <c r="C89" i="14"/>
  <c r="C41" i="14"/>
  <c r="I89" i="14"/>
  <c r="C81" i="14"/>
  <c r="C74"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1" i="14"/>
  <c r="AD17" i="14"/>
  <c r="AD18" i="14" s="1"/>
  <c r="AD22" i="14"/>
  <c r="AD19" i="14"/>
  <c r="AC46" i="14"/>
  <c r="AD82" i="14"/>
  <c r="AD20" i="14"/>
  <c r="AD28" i="14"/>
  <c r="AD37" i="14"/>
  <c r="AD83" i="14"/>
  <c r="AD24" i="14"/>
  <c r="AD25" i="14"/>
  <c r="AD21" i="14"/>
  <c r="AD38" i="14"/>
  <c r="AD40" i="14"/>
  <c r="AA26" i="14"/>
  <c r="Z36" i="14"/>
  <c r="AA81" i="14"/>
  <c r="AA82" i="14"/>
  <c r="AA37" i="14"/>
  <c r="AA83" i="14"/>
  <c r="AA21" i="14"/>
  <c r="AA38" i="14"/>
  <c r="AA84" i="14"/>
  <c r="Z46" i="14"/>
  <c r="AA22" i="14"/>
  <c r="AA30" i="14"/>
  <c r="AA31" i="14" s="1"/>
  <c r="AA87" i="14"/>
  <c r="AA74" i="14"/>
  <c r="X30" i="14"/>
  <c r="X31" i="14" s="1"/>
  <c r="X19" i="14"/>
  <c r="W46" i="14"/>
  <c r="X82" i="14"/>
  <c r="X40" i="14"/>
  <c r="X17" i="14"/>
  <c r="X18" i="14" s="1"/>
  <c r="X25" i="14"/>
  <c r="X26" i="14"/>
  <c r="X20" i="14"/>
  <c r="X28" i="14"/>
  <c r="X38" i="14"/>
  <c r="X22" i="14"/>
  <c r="X23" i="14"/>
  <c r="X24" i="14"/>
  <c r="U17" i="14"/>
  <c r="U18" i="14" s="1"/>
  <c r="U25" i="14"/>
  <c r="U26" i="14"/>
  <c r="T36" i="14"/>
  <c r="U81" i="14"/>
  <c r="U19" i="14"/>
  <c r="T46" i="14"/>
  <c r="U82" i="14"/>
  <c r="U20" i="14"/>
  <c r="U28" i="14"/>
  <c r="U37" i="14"/>
  <c r="U83" i="14"/>
  <c r="U29" i="14"/>
  <c r="U38" i="14"/>
  <c r="U84" i="14"/>
  <c r="U22" i="14"/>
  <c r="U30" i="14"/>
  <c r="U31" i="14" s="1"/>
  <c r="U23" i="14"/>
  <c r="U40" i="14"/>
  <c r="U74" i="14"/>
  <c r="U24" i="14"/>
  <c r="R25" i="14"/>
  <c r="R43" i="14"/>
  <c r="R26" i="14"/>
  <c r="Q36" i="14"/>
  <c r="R81" i="14"/>
  <c r="R24" i="14"/>
  <c r="R41" i="14"/>
  <c r="R17" i="14"/>
  <c r="R18" i="14" s="1"/>
  <c r="R35" i="14"/>
  <c r="R19" i="14"/>
  <c r="Q46" i="14"/>
  <c r="R82" i="14"/>
  <c r="R22" i="14"/>
  <c r="R20" i="14"/>
  <c r="R28" i="14"/>
  <c r="R21" i="14"/>
  <c r="R38" i="14"/>
  <c r="R30" i="14"/>
  <c r="R31" i="14" s="1"/>
  <c r="R23" i="14"/>
  <c r="R40" i="14"/>
  <c r="O19" i="14"/>
  <c r="N46" i="14"/>
  <c r="O82" i="14"/>
  <c r="O20" i="14"/>
  <c r="O28" i="14"/>
  <c r="O37" i="14"/>
  <c r="O83" i="14"/>
  <c r="O84" i="14"/>
  <c r="O22" i="14"/>
  <c r="L23" i="14"/>
  <c r="L26" i="14"/>
  <c r="K36" i="14"/>
  <c r="L81" i="14"/>
  <c r="L17" i="14"/>
  <c r="L18" i="14" s="1"/>
  <c r="K46" i="14"/>
  <c r="L82" i="14"/>
  <c r="L19" i="14"/>
  <c r="L20" i="14"/>
  <c r="L28" i="14"/>
  <c r="L37" i="14"/>
  <c r="L83" i="14"/>
  <c r="L40" i="14"/>
  <c r="L24" i="14"/>
  <c r="L25" i="14"/>
  <c r="L21" i="14"/>
  <c r="L38" i="14"/>
  <c r="L84" i="14"/>
  <c r="L22" i="14"/>
  <c r="L30" i="14"/>
  <c r="L31" i="14" s="1"/>
  <c r="I24" i="14"/>
  <c r="I17" i="14"/>
  <c r="I18" i="14" s="1"/>
  <c r="I43" i="14"/>
  <c r="I26" i="14"/>
  <c r="H36" i="14"/>
  <c r="I81" i="14"/>
  <c r="I41" i="14"/>
  <c r="I25" i="14"/>
  <c r="I35" i="14"/>
  <c r="I19" i="14"/>
  <c r="H46" i="14"/>
  <c r="I82" i="14"/>
  <c r="I23" i="14"/>
  <c r="I20" i="14"/>
  <c r="I28" i="14"/>
  <c r="I21" i="14"/>
  <c r="I38" i="14"/>
  <c r="I22" i="14"/>
  <c r="I30" i="14"/>
  <c r="I31" i="14" s="1"/>
  <c r="I40" i="14"/>
  <c r="F43" i="14"/>
  <c r="F35" i="14"/>
  <c r="F26" i="14"/>
  <c r="E36" i="14"/>
  <c r="F81" i="14"/>
  <c r="F83" i="14"/>
  <c r="F21" i="14"/>
  <c r="F38" i="14"/>
  <c r="F84" i="14"/>
  <c r="F22" i="14"/>
  <c r="F30" i="14"/>
  <c r="F31" i="14" s="1"/>
  <c r="F87" i="14"/>
  <c r="E46" i="14"/>
  <c r="F23" i="14"/>
  <c r="F40" i="14"/>
  <c r="F74" i="14"/>
  <c r="F88" i="14"/>
  <c r="F82" i="14"/>
  <c r="F24" i="14"/>
  <c r="C85" i="11"/>
  <c r="C73" i="11"/>
  <c r="C53" i="11"/>
  <c r="C47" i="11"/>
  <c r="C49" i="11"/>
  <c r="C51" i="11"/>
  <c r="C39" i="11"/>
  <c r="C55" i="11"/>
  <c r="C41" i="11"/>
  <c r="C57" i="11"/>
  <c r="C43" i="11"/>
  <c r="C59" i="11"/>
  <c r="C45" i="11"/>
  <c r="C29" i="14"/>
  <c r="C87" i="14"/>
  <c r="C88" i="14"/>
  <c r="C84" i="14"/>
  <c r="C83" i="14"/>
  <c r="C67" i="14"/>
  <c r="AB71" i="16"/>
  <c r="AA71" i="16"/>
  <c r="Z71" i="16"/>
  <c r="Y71" i="16"/>
  <c r="X71" i="16"/>
  <c r="W71" i="16"/>
  <c r="V71" i="16"/>
  <c r="U71" i="16"/>
  <c r="T71" i="16"/>
  <c r="S71" i="16"/>
  <c r="R71" i="16"/>
  <c r="Q71" i="16"/>
  <c r="P71" i="16"/>
  <c r="O71" i="16"/>
  <c r="N71" i="16"/>
  <c r="M71" i="16"/>
  <c r="L71" i="16"/>
  <c r="K71" i="16"/>
  <c r="J71" i="16"/>
  <c r="I71" i="16"/>
  <c r="H71" i="16"/>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AA36" i="14" l="1"/>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C61" i="14"/>
  <c r="D61" i="14" s="1"/>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3" i="14"/>
  <c r="C31" i="14"/>
  <c r="C32" i="14" s="1"/>
  <c r="C6" i="14"/>
  <c r="B6" i="14"/>
  <c r="B6" i="11" l="1"/>
  <c r="C11" i="11" l="1"/>
</calcChain>
</file>

<file path=xl/sharedStrings.xml><?xml version="1.0" encoding="utf-8"?>
<sst xmlns="http://schemas.openxmlformats.org/spreadsheetml/2006/main" count="3080" uniqueCount="812">
  <si>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</si>
  <si>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</si>
  <si>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</si>
  <si>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</si>
  <si>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</si>
  <si>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</si>
  <si>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</si>
  <si>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</si>
  <si>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</si>
  <si>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</si>
  <si>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</si>
  <si>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</si>
  <si>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</si>
  <si>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</si>
  <si>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</si>
  <si>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</si>
  <si>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</si>
  <si>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</si>
  <si>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</si>
  <si>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</si>
  <si>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</si>
  <si>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</si>
  <si>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</si>
  <si>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</si>
  <si>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</si>
  <si>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</si>
  <si>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</si>
  <si>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</si>
  <si>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</si>
  <si>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</si>
  <si>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</si>
  <si>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</si>
  <si>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</si>
  <si>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</si>
  <si>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</si>
  <si>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</si>
  <si>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</si>
  <si>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</si>
  <si>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</si>
  <si>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</si>
  <si>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</si>
  <si>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</si>
  <si>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</si>
  <si>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</si>
  <si>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</si>
  <si>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</si>
  <si>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</si>
  <si>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</si>
  <si>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</si>
  <si>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</si>
  <si>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</si>
  <si>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</si>
  <si>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</si>
  <si>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</si>
  <si>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</si>
  <si>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</si>
  <si>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</si>
  <si>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</si>
  <si>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</si>
  <si>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</si>
  <si>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</si>
  <si>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</si>
  <si>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</si>
  <si>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</si>
  <si>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</si>
  <si>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</si>
  <si>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</si>
  <si>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</si>
  <si>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</si>
  <si>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</si>
  <si>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</si>
  <si>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</si>
  <si>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</si>
  <si>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</si>
  <si>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</si>
  <si>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</si>
  <si>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</si>
  <si>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</si>
  <si>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</si>
  <si>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</si>
  <si>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</si>
  <si>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</si>
  <si>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</si>
  <si>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</si>
  <si>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</si>
  <si>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</si>
  <si>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</si>
  <si>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</si>
  <si>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</si>
  <si>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</si>
  <si>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</si>
  <si>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</si>
  <si>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</si>
  <si>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</si>
  <si>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</si>
  <si>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</si>
  <si>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</si>
  <si>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</si>
  <si>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</si>
  <si>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</si>
  <si>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</si>
  <si>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</si>
  <si>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</si>
  <si>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</si>
  <si>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</si>
  <si>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</si>
  <si>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</si>
  <si>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</si>
  <si>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</si>
  <si>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</si>
  <si>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fodermiddeltabel forslag</t>
  </si>
  <si>
    <t>Svin Plus Enhed</t>
  </si>
  <si>
    <t>Svin Struktur E</t>
  </si>
  <si>
    <t>Kvæg</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</si>
  <si>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</si>
  <si>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</si>
  <si>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</si>
  <si>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</si>
  <si>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</si>
  <si>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</si>
  <si>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</si>
  <si>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</si>
  <si>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</si>
  <si>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</si>
  <si>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</si>
  <si>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</si>
  <si>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</si>
  <si>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</si>
  <si>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</si>
  <si>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Beat_molasses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</si>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</sst>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4">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0" fontId="1" fillId="0" borderId="0" xfId="0" applyFont="1" applyAlignment="1">
      <alignment horizontal="center"/>
    </xf>
  </cellXfs>
  <cellStyles count="2">
    <cellStyle name="Normal" xfId="0" builtinId="0"/>
    <cellStyle name="Normal 2" xfId="1" xr:uid="{00000000-0005-0000-0000-000001000000}"/>
  </cellStyles>
  <dxfs count="178">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zoomScale="70" zoomScaleNormal="70" workbookViewId="0">
      <selection activeCell="B13" sqref="B13"/>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811</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110</v>
      </c>
      <c r="C108" s="9" t="s">
        <v>111</v>
      </c>
      <c r="D108" s="9" t="s">
        <v>112</v>
      </c>
      <c r="E108" s="9" t="s">
        <v>113</v>
      </c>
      <c r="L108" s="13"/>
      <c r="U108" s="13"/>
      <c r="V108" s="16"/>
    </row>
    <row r="109" spans="1:45" x14ac:dyDescent="0.25">
      <c r="A109" s="9" t="s">
        <v>114</v>
      </c>
      <c r="B109" s="42">
        <v>41.283999999999999</v>
      </c>
      <c r="C109" s="42">
        <v>29.2</v>
      </c>
      <c r="D109" s="42">
        <v>29.5</v>
      </c>
      <c r="E109" s="42">
        <v>1</v>
      </c>
      <c r="F109" s="9"/>
      <c r="G109" s="9"/>
      <c r="H109" s="9"/>
      <c r="I109" s="9"/>
      <c r="J109" s="9"/>
      <c r="K109" s="9"/>
      <c r="L109" s="9"/>
      <c r="M109" s="9"/>
      <c r="N109" s="9"/>
      <c r="O109" s="9"/>
      <c r="P109" s="9"/>
      <c r="Q109" s="9"/>
      <c r="R109" s="9"/>
      <c r="S109" s="9"/>
      <c r="T109" s="9"/>
      <c r="U109" s="9"/>
      <c r="V109" s="15"/>
      <c r="W109" s="9"/>
      <c r="X109" s="9"/>
      <c r="Y109" s="9"/>
      <c r="Z109" s="9"/>
      <c r="AA109" s="9"/>
      <c r="AB109" s="9"/>
      <c r="AC109" s="9"/>
      <c r="AD109" s="9"/>
      <c r="AE109" s="73"/>
      <c r="AF109" s="73"/>
    </row>
    <row r="110" spans="1:45" ht="16.5" customHeight="1" x14ac:dyDescent="0.25">
      <c r="A110" s="9" t="s">
        <v>115</v>
      </c>
      <c r="B110" s="42">
        <v>27</v>
      </c>
      <c r="C110" s="42">
        <v>28</v>
      </c>
      <c r="D110" s="42">
        <v>35</v>
      </c>
      <c r="E110" s="42">
        <v>1</v>
      </c>
      <c r="F110" s="14"/>
      <c r="G110" s="14"/>
      <c r="H110" s="14"/>
      <c r="I110" s="14"/>
      <c r="J110" s="14"/>
      <c r="K110" s="14"/>
      <c r="L110" s="9"/>
      <c r="M110" s="14"/>
      <c r="N110" s="14"/>
      <c r="O110" s="14"/>
      <c r="P110" s="14"/>
      <c r="Q110" s="14"/>
      <c r="R110" s="14"/>
      <c r="S110" s="14"/>
      <c r="T110" s="14"/>
      <c r="U110" s="13"/>
      <c r="V110" s="17"/>
      <c r="W110" s="14"/>
      <c r="X110" s="14"/>
      <c r="Y110" s="14"/>
      <c r="Z110" s="14"/>
      <c r="AA110" s="14"/>
      <c r="AB110" s="14"/>
      <c r="AC110" s="14"/>
    </row>
    <row r="111" spans="1:45" ht="15" customHeight="1" x14ac:dyDescent="0.25">
      <c r="A111" s="9" t="s">
        <v>116</v>
      </c>
      <c r="B111" s="43">
        <v>10</v>
      </c>
      <c r="C111" s="42">
        <v>15</v>
      </c>
      <c r="D111" s="42">
        <v>7.1</v>
      </c>
      <c r="E111" s="42">
        <v>16</v>
      </c>
      <c r="L111" s="9"/>
      <c r="U111" s="18"/>
      <c r="V111" s="17"/>
    </row>
    <row r="112" spans="1:45" x14ac:dyDescent="0.25">
      <c r="A112" s="9" t="s">
        <v>117</v>
      </c>
      <c r="B112" s="42">
        <v>15.926</v>
      </c>
      <c r="C112" s="42">
        <v>8.6</v>
      </c>
      <c r="D112" s="42">
        <v>7.4</v>
      </c>
      <c r="E112" s="42"/>
      <c r="L112" s="9"/>
      <c r="U112" s="18"/>
      <c r="V112" s="17"/>
    </row>
    <row r="113" spans="1:23" x14ac:dyDescent="0.25">
      <c r="A113" s="9" t="s">
        <v>118</v>
      </c>
      <c r="B113" s="42">
        <v>2</v>
      </c>
      <c r="C113" s="42">
        <v>10</v>
      </c>
      <c r="D113" s="42">
        <v>9.4</v>
      </c>
      <c r="E113" s="42"/>
      <c r="L113" s="9"/>
      <c r="U113" s="13"/>
      <c r="V113" s="19"/>
    </row>
    <row r="114" spans="1:23" x14ac:dyDescent="0.25">
      <c r="A114" s="9" t="s">
        <v>119</v>
      </c>
      <c r="B114" s="42">
        <v>0.8</v>
      </c>
      <c r="C114" s="42">
        <v>0.5</v>
      </c>
      <c r="D114" s="42">
        <v>0.5</v>
      </c>
      <c r="E114" s="42"/>
      <c r="L114" s="9"/>
      <c r="U114" s="13"/>
      <c r="V114" s="17"/>
    </row>
    <row r="115" spans="1:23" x14ac:dyDescent="0.25">
      <c r="A115" s="9" t="s">
        <v>120</v>
      </c>
      <c r="B115" s="42">
        <v>0.6</v>
      </c>
      <c r="C115" s="42">
        <v>0.6</v>
      </c>
      <c r="D115" s="42">
        <v>0.6</v>
      </c>
      <c r="E115" s="42"/>
      <c r="L115" s="9"/>
      <c r="U115" s="13"/>
      <c r="V115" s="17"/>
    </row>
    <row r="116" spans="1:23" x14ac:dyDescent="0.25">
      <c r="A116" s="9" t="s">
        <v>121</v>
      </c>
      <c r="B116" s="42">
        <v>2.39</v>
      </c>
      <c r="C116" s="42">
        <v>2.39</v>
      </c>
      <c r="D116" s="42">
        <v>2.39</v>
      </c>
      <c r="E116" s="42">
        <v>2</v>
      </c>
      <c r="L116" s="9"/>
      <c r="U116" s="13"/>
      <c r="V116" s="17"/>
    </row>
    <row r="117" spans="1:23" x14ac:dyDescent="0.25">
      <c r="A117" s="9" t="s">
        <v>122</v>
      </c>
      <c r="B117" s="44"/>
      <c r="C117" s="42"/>
      <c r="D117" s="42"/>
      <c r="E117" s="42">
        <v>22</v>
      </c>
      <c r="L117" s="9"/>
      <c r="U117" s="13"/>
      <c r="V117" s="17"/>
    </row>
    <row r="118" spans="1:23" x14ac:dyDescent="0.25">
      <c r="A118" s="9" t="s">
        <v>123</v>
      </c>
      <c r="B118" s="44"/>
      <c r="C118" s="42"/>
      <c r="D118" s="42"/>
      <c r="E118" s="42">
        <v>15</v>
      </c>
      <c r="L118" s="9"/>
      <c r="U118" s="13"/>
      <c r="V118" s="17"/>
    </row>
    <row r="119" spans="1:23" x14ac:dyDescent="0.25">
      <c r="A119" s="9" t="s">
        <v>124</v>
      </c>
      <c r="B119" s="44"/>
      <c r="C119" s="42"/>
      <c r="D119" s="42"/>
      <c r="E119" s="42">
        <v>10</v>
      </c>
      <c r="L119" s="9"/>
      <c r="U119" s="9"/>
      <c r="V119" s="17"/>
    </row>
    <row r="120" spans="1:23" x14ac:dyDescent="0.25">
      <c r="A120" s="9" t="s">
        <v>125</v>
      </c>
      <c r="B120" s="44"/>
      <c r="C120" s="42"/>
      <c r="D120" s="42"/>
      <c r="E120" s="42">
        <v>21</v>
      </c>
      <c r="L120" s="9"/>
      <c r="U120" s="9"/>
      <c r="V120" s="17"/>
    </row>
    <row r="121" spans="1:23" x14ac:dyDescent="0.25">
      <c r="A121" s="9" t="s">
        <v>118</v>
      </c>
      <c r="B121" s="44"/>
      <c r="C121" s="42"/>
      <c r="D121" s="42"/>
      <c r="E121" s="42">
        <v>5</v>
      </c>
      <c r="L121" s="9"/>
      <c r="U121" s="13"/>
      <c r="V121" s="17"/>
    </row>
    <row r="122" spans="1:23" x14ac:dyDescent="0.25">
      <c r="A122" s="9" t="s">
        <v>126</v>
      </c>
      <c r="B122" s="42"/>
      <c r="C122" s="42"/>
      <c r="D122" s="42"/>
      <c r="E122" s="42">
        <v>2</v>
      </c>
      <c r="L122" s="9"/>
      <c r="U122" s="13"/>
      <c r="V122" s="16"/>
    </row>
    <row r="123" spans="1:23" x14ac:dyDescent="0.25">
      <c r="A123" s="9" t="s">
        <v>127</v>
      </c>
      <c r="B123" s="42"/>
      <c r="C123" s="42"/>
      <c r="D123" s="42">
        <v>2</v>
      </c>
      <c r="E123" s="42">
        <v>5</v>
      </c>
      <c r="L123" s="9"/>
      <c r="U123" s="13"/>
      <c r="V123" s="16"/>
    </row>
    <row r="124" spans="1:23" x14ac:dyDescent="0.25">
      <c r="A124" s="9" t="s">
        <v>128</v>
      </c>
      <c r="B124" s="42"/>
      <c r="C124" s="42">
        <v>5</v>
      </c>
      <c r="D124" s="42">
        <v>5</v>
      </c>
      <c r="E124" s="44"/>
      <c r="L124" s="9"/>
      <c r="U124" s="13"/>
      <c r="V124" s="16"/>
    </row>
    <row r="125" spans="1:23" ht="15" customHeight="1" x14ac:dyDescent="0.25">
      <c r="A125" s="9" t="s">
        <v>129</v>
      </c>
      <c r="B125" s="44"/>
      <c r="C125" s="42">
        <v>0.44</v>
      </c>
      <c r="D125" s="42">
        <v>0.48</v>
      </c>
      <c r="E125" s="44"/>
      <c r="U125" s="2"/>
      <c r="V125" s="15"/>
    </row>
    <row r="126" spans="1:23" x14ac:dyDescent="0.25">
      <c r="V126" s="13"/>
      <c r="W126" s="15"/>
    </row>
    <row r="127" spans="1:23" x14ac:dyDescent="0.25">
      <c r="A127" s="39" t="s">
        <v>130</v>
      </c>
      <c r="B127" t="s">
        <v>131</v>
      </c>
      <c r="C127" t="s">
        <v>132</v>
      </c>
      <c r="D127" t="s">
        <v>133</v>
      </c>
      <c r="E127" s="9" t="s">
        <v>134</v>
      </c>
      <c r="V127" s="13"/>
      <c r="W127" s="15"/>
    </row>
    <row r="128" spans="1:23" x14ac:dyDescent="0.25">
      <c r="A128" s="9" t="s">
        <v>135</v>
      </c>
      <c r="B128" s="42">
        <v>65</v>
      </c>
      <c r="C128" s="42">
        <v>51</v>
      </c>
      <c r="D128" s="42">
        <v>51</v>
      </c>
      <c r="E128" s="42">
        <v>51</v>
      </c>
      <c r="M128" s="9"/>
      <c r="V128" s="13"/>
      <c r="W128" s="15"/>
    </row>
    <row r="129" spans="1:13" s="9" customFormat="1" ht="16.5" x14ac:dyDescent="0.2">
      <c r="A129" s="9" t="s">
        <v>136</v>
      </c>
      <c r="B129" s="42">
        <v>6</v>
      </c>
      <c r="C129" s="42">
        <v>6</v>
      </c>
      <c r="D129" s="42">
        <v>6</v>
      </c>
      <c r="E129" s="42">
        <v>6</v>
      </c>
    </row>
    <row r="130" spans="1:13" x14ac:dyDescent="0.25">
      <c r="A130" s="9" t="s">
        <v>137</v>
      </c>
      <c r="B130" s="42">
        <v>40</v>
      </c>
      <c r="C130" s="42">
        <v>40</v>
      </c>
      <c r="D130" s="42">
        <v>40</v>
      </c>
      <c r="E130" s="42">
        <v>40</v>
      </c>
      <c r="M130" s="14"/>
    </row>
    <row r="131" spans="1:13" x14ac:dyDescent="0.25">
      <c r="A131" s="9" t="s">
        <v>138</v>
      </c>
      <c r="B131" s="42">
        <v>64</v>
      </c>
      <c r="C131" s="42">
        <v>64</v>
      </c>
      <c r="D131" s="42">
        <v>64</v>
      </c>
      <c r="E131" s="42">
        <v>64</v>
      </c>
    </row>
    <row r="132" spans="1:13" x14ac:dyDescent="0.25">
      <c r="A132" s="9" t="s">
        <v>139</v>
      </c>
      <c r="B132" s="42">
        <v>40</v>
      </c>
      <c r="C132" s="42">
        <v>40</v>
      </c>
      <c r="D132" s="42">
        <v>40</v>
      </c>
      <c r="E132" s="42">
        <v>40</v>
      </c>
    </row>
    <row r="133" spans="1:13" x14ac:dyDescent="0.25">
      <c r="A133" s="9" t="s">
        <v>140</v>
      </c>
      <c r="B133" s="42">
        <v>64</v>
      </c>
      <c r="C133" s="42">
        <v>64</v>
      </c>
      <c r="D133" s="42">
        <v>64</v>
      </c>
      <c r="E133" s="42">
        <v>64</v>
      </c>
    </row>
    <row r="134" spans="1:13" x14ac:dyDescent="0.25">
      <c r="A134" s="9"/>
    </row>
    <row r="135" spans="1:13" x14ac:dyDescent="0.25">
      <c r="A135" s="39" t="s">
        <v>141</v>
      </c>
      <c r="B135" s="9" t="s">
        <v>131</v>
      </c>
      <c r="C135" s="9" t="s">
        <v>132</v>
      </c>
    </row>
    <row r="136" spans="1:13" x14ac:dyDescent="0.25">
      <c r="A136" s="9" t="s">
        <v>142</v>
      </c>
      <c r="B136" s="42">
        <v>31.3</v>
      </c>
      <c r="C136" s="42">
        <v>31.2</v>
      </c>
    </row>
    <row r="137" spans="1:13" x14ac:dyDescent="0.25">
      <c r="A137" s="9" t="s">
        <v>143</v>
      </c>
      <c r="B137" s="42">
        <v>81000</v>
      </c>
      <c r="C137" s="42">
        <v>81000</v>
      </c>
    </row>
    <row r="138" spans="1:13" x14ac:dyDescent="0.25">
      <c r="A138" s="9" t="s">
        <v>144</v>
      </c>
      <c r="B138" s="42">
        <v>0.7</v>
      </c>
      <c r="C138" s="42">
        <v>0.42</v>
      </c>
    </row>
    <row r="139" spans="1:13" x14ac:dyDescent="0.25">
      <c r="A139" s="9" t="s">
        <v>145</v>
      </c>
      <c r="B139" s="42">
        <v>6.67</v>
      </c>
      <c r="C139" s="42">
        <v>6.67</v>
      </c>
    </row>
    <row r="140" spans="1:13" x14ac:dyDescent="0.25">
      <c r="A140" s="9"/>
      <c r="B140" s="9"/>
      <c r="C140" s="9"/>
    </row>
    <row r="141" spans="1:13" x14ac:dyDescent="0.25">
      <c r="A141" s="9"/>
      <c r="B141" s="9"/>
      <c r="C141" s="9"/>
    </row>
    <row r="142" spans="1:13" x14ac:dyDescent="0.25">
      <c r="A142" s="39" t="s">
        <v>146</v>
      </c>
      <c r="B142" s="9" t="s">
        <v>131</v>
      </c>
      <c r="C142" s="9" t="s">
        <v>132</v>
      </c>
    </row>
    <row r="143" spans="1:13" ht="15" customHeight="1" x14ac:dyDescent="0.25">
      <c r="A143" s="9" t="s">
        <v>147</v>
      </c>
      <c r="B143" s="42">
        <v>54</v>
      </c>
      <c r="C143" s="42">
        <v>72</v>
      </c>
    </row>
    <row r="144" spans="1:13" x14ac:dyDescent="0.25">
      <c r="A144" s="9" t="s">
        <v>148</v>
      </c>
      <c r="B144" s="42">
        <v>23</v>
      </c>
      <c r="C144" s="42">
        <v>48</v>
      </c>
    </row>
    <row r="145" spans="1:28" x14ac:dyDescent="0.25">
      <c r="A145" s="9" t="s">
        <v>149</v>
      </c>
      <c r="B145" s="42">
        <v>15</v>
      </c>
      <c r="C145" s="42">
        <v>48</v>
      </c>
    </row>
    <row r="146" spans="1:28" x14ac:dyDescent="0.25">
      <c r="A146" s="9"/>
      <c r="B146" s="9"/>
    </row>
    <row r="147" spans="1:28" x14ac:dyDescent="0.25">
      <c r="A147" s="20" t="s">
        <v>150</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151</v>
      </c>
      <c r="B182" s="9" t="s">
        <v>131</v>
      </c>
      <c r="C182" s="9" t="s">
        <v>132</v>
      </c>
    </row>
    <row r="183" spans="1:27" x14ac:dyDescent="0.25">
      <c r="A183" s="9" t="s">
        <v>152</v>
      </c>
      <c r="B183" s="67">
        <v>0</v>
      </c>
      <c r="C183" s="67">
        <v>0</v>
      </c>
    </row>
    <row r="184" spans="1:27" x14ac:dyDescent="0.25">
      <c r="A184" s="9" t="s">
        <v>153</v>
      </c>
      <c r="B184" s="67">
        <v>2</v>
      </c>
      <c r="C184" s="67">
        <v>1</v>
      </c>
    </row>
    <row r="185" spans="1:27" ht="15" customHeight="1" x14ac:dyDescent="0.25">
      <c r="A185" s="9" t="s">
        <v>154</v>
      </c>
      <c r="B185" s="67">
        <v>21</v>
      </c>
      <c r="C185" s="67">
        <v>19</v>
      </c>
    </row>
    <row r="186" spans="1:27" x14ac:dyDescent="0.25">
      <c r="A186" s="9" t="s">
        <v>155</v>
      </c>
      <c r="B186" s="67">
        <v>58</v>
      </c>
      <c r="C186" s="67">
        <f>33+12</f>
        <v>45</v>
      </c>
      <c r="F186" s="13"/>
      <c r="G186" s="13"/>
      <c r="H186" s="13"/>
      <c r="I186" s="13"/>
      <c r="J186" s="13"/>
      <c r="K186" s="13"/>
      <c r="L186" s="13"/>
    </row>
    <row r="187" spans="1:27" x14ac:dyDescent="0.25">
      <c r="A187" s="9" t="s">
        <v>156</v>
      </c>
      <c r="B187" s="67">
        <v>10</v>
      </c>
      <c r="C187" s="67">
        <v>10</v>
      </c>
    </row>
    <row r="188" spans="1:27" x14ac:dyDescent="0.25">
      <c r="A188" s="9" t="s">
        <v>157</v>
      </c>
      <c r="B188" s="67">
        <v>1</v>
      </c>
      <c r="C188" s="67">
        <v>9</v>
      </c>
    </row>
    <row r="189" spans="1:27" x14ac:dyDescent="0.25">
      <c r="A189" s="9" t="s">
        <v>158</v>
      </c>
      <c r="B189" s="67">
        <v>1</v>
      </c>
      <c r="C189" s="67">
        <v>8</v>
      </c>
    </row>
    <row r="190" spans="1:27" x14ac:dyDescent="0.25">
      <c r="A190" s="9" t="s">
        <v>159</v>
      </c>
      <c r="B190" s="67">
        <v>3</v>
      </c>
      <c r="C190" s="67">
        <v>6</v>
      </c>
    </row>
    <row r="191" spans="1:27" x14ac:dyDescent="0.25">
      <c r="A191" s="9" t="s">
        <v>160</v>
      </c>
      <c r="B191" s="67">
        <v>3</v>
      </c>
      <c r="C191" s="67">
        <v>2</v>
      </c>
      <c r="D191" s="9"/>
      <c r="E191" s="13"/>
    </row>
    <row r="192" spans="1:27" x14ac:dyDescent="0.25">
      <c r="A192" s="9" t="s">
        <v>161</v>
      </c>
      <c r="B192" s="67">
        <v>1</v>
      </c>
      <c r="C192" s="67">
        <v>0</v>
      </c>
    </row>
    <row r="193" spans="1:5" x14ac:dyDescent="0.25">
      <c r="A193" s="9" t="s">
        <v>162</v>
      </c>
      <c r="B193" s="67">
        <v>0</v>
      </c>
      <c r="C193" s="67">
        <v>0</v>
      </c>
    </row>
    <row r="194" spans="1:5" x14ac:dyDescent="0.25">
      <c r="A194" s="9" t="s">
        <v>163</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E109:AF109"/>
  </mergeCells>
  <dataValidations disablePrompts="1" count="20">
    <dataValidation type="whole" allowBlank="1" showInputMessage="1" showErrorMessage="1" promptTitle="grazing time pr day (h)" prompt="During periods of grazing how many hours a day are they outside" sqref="V112" xr:uid="{00000000-0002-0000-0300-000000000000}">
      <formula1>0</formula1>
      <formula2>365</formula2>
    </dataValidation>
    <dataValidation type="whole" allowBlank="1" showInputMessage="1" showErrorMessage="1" promptTitle="Grazing time (days)" prompt="Days a year animals are allowed to graze outside." sqref="V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V110" xr:uid="{00000000-0002-0000-0300-000002000000}">
      <formula1>0</formula1>
      <formula2>365</formula2>
    </dataValidation>
    <dataValidation type="decimal" operator="greaterThanOrEqual" allowBlank="1" showInputMessage="1" showErrorMessage="1" promptTitle="urine total solids (%)" sqref="V115 B69" xr:uid="{00000000-0002-0000-0300-000003000000}">
      <formula1>0</formula1>
    </dataValidation>
    <dataValidation type="decimal" operator="greaterThanOrEqual" allowBlank="1" showInputMessage="1" showErrorMessage="1" promptTitle="total solids content feces (%)" sqref="V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V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V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V108" xr:uid="{00000000-0002-0000-0300-000009000000}">
      <formula1>1</formula1>
    </dataValidation>
    <dataValidation type="decimal" operator="greaterThan" allowBlank="1" showInputMessage="1" showErrorMessage="1" promptTitle="Depth of pit (cm)" prompt="Enter the depth of the slurry pit belows the floor" sqref="V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V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V121" xr:uid="{00000000-0002-0000-0300-00000C000000}"/>
    <dataValidation allowBlank="1" showInputMessage="1" showErrorMessage="1" promptTitle="Empty time of section (days)" prompt="The time the section is empty from one batch of animals leaves the section til a new one enters" sqref="V123" xr:uid="{00000000-0002-0000-0300-00000D000000}"/>
    <dataValidation type="decimal" operator="greaterThanOrEqual" allowBlank="1" showInputMessage="1" showErrorMessage="1" promptTitle="Feed intake (kg/animal)" prompt="The average feed intake over a production period per animal" sqref="V113" xr:uid="{00000000-0002-0000-0300-00000E000000}">
      <formula1>0</formula1>
    </dataValidation>
    <dataValidation type="decimal" operator="greaterThanOrEqual" allowBlank="1" showInputMessage="1" showErrorMessage="1" promptTitle="bedding material (kg/animal)" prompt="bedding material added pr animal" sqref="V124" xr:uid="{00000000-0002-0000-0300-00000F000000}">
      <formula1>0</formula1>
    </dataValidation>
    <dataValidation type="decimal" operator="greaterThanOrEqual" allowBlank="1" showInputMessage="1" showErrorMessage="1" promptTitle="Average temperature (C)" prompt="The average temperature in the section (C)" sqref="V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V122" xr:uid="{00000000-0002-0000-0300-000012000000}"/>
    <dataValidation type="decimal" allowBlank="1" showInputMessage="1" showErrorMessage="1" promptTitle="Slurry height after removal (cm)" prompt="Slurry height left in pit after removal (meters)" sqref="V120" xr:uid="{00000000-0002-0000-0300-000013000000}">
      <formula1>0</formula1>
      <formula2>V118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89"/>
  <sheetViews>
    <sheetView tabSelected="1" topLeftCell="A9" zoomScale="70" zoomScaleNormal="70" workbookViewId="0">
      <selection activeCell="C42" sqref="C42"/>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809</v>
      </c>
      <c r="B6" s="31" t="str">
        <f>B1</f>
        <v>Section 1</v>
      </c>
      <c r="C6" s="31" t="str">
        <f>C1</f>
        <v>Value 1</v>
      </c>
      <c r="D6" s="31" t="s">
        <v>164</v>
      </c>
      <c r="E6" s="31" t="str">
        <f>E1</f>
        <v>Section 2</v>
      </c>
      <c r="F6" s="31" t="str">
        <f>F1</f>
        <v>Value 2</v>
      </c>
      <c r="G6" s="31" t="s">
        <v>164</v>
      </c>
      <c r="H6" s="31" t="str">
        <f>H1</f>
        <v>Section 3</v>
      </c>
      <c r="I6" s="31" t="str">
        <f>I1</f>
        <v>Value 3</v>
      </c>
      <c r="J6" s="31" t="s">
        <v>164</v>
      </c>
      <c r="K6" s="31" t="str">
        <f>K1</f>
        <v>Section 4</v>
      </c>
      <c r="L6" s="31" t="str">
        <f>L1</f>
        <v>Value 4</v>
      </c>
      <c r="M6" s="31" t="s">
        <v>164</v>
      </c>
      <c r="N6" s="31" t="str">
        <f>N1</f>
        <v>Section 5</v>
      </c>
      <c r="O6" s="31" t="str">
        <f>O1</f>
        <v>Value 5</v>
      </c>
      <c r="P6" s="31" t="s">
        <v>164</v>
      </c>
      <c r="Q6" s="31" t="str">
        <f>Q1</f>
        <v>Section 6</v>
      </c>
      <c r="R6" s="31" t="str">
        <f>R1</f>
        <v>Value 6</v>
      </c>
      <c r="S6" s="31" t="s">
        <v>164</v>
      </c>
      <c r="T6" s="31" t="str">
        <f>T1</f>
        <v>Section 7</v>
      </c>
      <c r="U6" s="31" t="str">
        <f>U1</f>
        <v>Value 7</v>
      </c>
      <c r="V6" s="31" t="s">
        <v>164</v>
      </c>
      <c r="W6" s="31" t="str">
        <f>W1</f>
        <v>Section 8</v>
      </c>
      <c r="X6" s="31" t="str">
        <f>X1</f>
        <v>Value 8</v>
      </c>
      <c r="Y6" s="31" t="s">
        <v>164</v>
      </c>
      <c r="Z6" s="31" t="str">
        <f>Z1</f>
        <v>Section 9</v>
      </c>
      <c r="AA6" s="31" t="str">
        <f>AA1</f>
        <v>Value 9</v>
      </c>
      <c r="AB6" s="31" t="s">
        <v>164</v>
      </c>
      <c r="AC6" s="31" t="str">
        <f>AC1</f>
        <v>Section 10</v>
      </c>
      <c r="AD6" s="31" t="str">
        <f>AD1</f>
        <v>Value 10</v>
      </c>
      <c r="AE6" s="31" t="s">
        <v>164</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808</v>
      </c>
      <c r="C8" s="25" t="str">
        <f>IF($A$7 &gt;=(COLUMNS($B:C)+1)/3,"active","deactive")</f>
        <v>active</v>
      </c>
      <c r="D8" s="66"/>
      <c r="E8" s="24" t="s">
        <v>808</v>
      </c>
      <c r="F8" s="25" t="str">
        <f>IF($A$7 &gt;=(COLUMNS($B:F)+1)/3,"active","deactive")</f>
        <v>deactive</v>
      </c>
      <c r="G8" s="66"/>
      <c r="H8" s="24" t="s">
        <v>808</v>
      </c>
      <c r="I8" s="25" t="str">
        <f>IF($A$7 &gt;=(COLUMNS($B:I)+1)/3,"active","deactive")</f>
        <v>deactive</v>
      </c>
      <c r="J8" s="66"/>
      <c r="K8" s="24" t="s">
        <v>808</v>
      </c>
      <c r="L8" s="25" t="str">
        <f>IF($A$7 &gt;=(COLUMNS($B:L)+1)/3,"active","deactive")</f>
        <v>deactive</v>
      </c>
      <c r="M8" s="66"/>
      <c r="N8" s="24" t="s">
        <v>808</v>
      </c>
      <c r="O8" s="25" t="str">
        <f>IF($A$7 &gt;=(COLUMNS($B:O)+1)/3,"active","deactive")</f>
        <v>deactive</v>
      </c>
      <c r="P8" s="66"/>
      <c r="Q8" s="24" t="s">
        <v>808</v>
      </c>
      <c r="R8" s="25" t="str">
        <f>IF($A$7 &gt;=(COLUMNS($B:R)+1)/3,"active","deactive")</f>
        <v>deactive</v>
      </c>
      <c r="S8" s="66"/>
      <c r="T8" s="24" t="s">
        <v>808</v>
      </c>
      <c r="U8" s="25" t="str">
        <f>IF($A$7 &gt;=(COLUMNS($B:U)+1)/3,"active","deactive")</f>
        <v>deactive</v>
      </c>
      <c r="V8" s="66"/>
      <c r="W8" s="24" t="s">
        <v>808</v>
      </c>
      <c r="X8" s="25" t="str">
        <f>IF($A$7 &gt;=(COLUMNS($B:X)+1)/3,"active","deactive")</f>
        <v>deactive</v>
      </c>
      <c r="Y8" s="66"/>
      <c r="Z8" s="24" t="s">
        <v>808</v>
      </c>
      <c r="AA8" s="25" t="str">
        <f>IF($A$7 &gt;=(COLUMNS($B:AA)+1)/3,"active","deactive")</f>
        <v>deactive</v>
      </c>
      <c r="AB8" s="66"/>
      <c r="AC8" s="24" t="s">
        <v>808</v>
      </c>
      <c r="AD8" s="25" t="str">
        <f>IF($A$7 &gt;=(COLUMNS($B:AD)+1)/3,"active","deactive")</f>
        <v>deactive</v>
      </c>
      <c r="AE8" s="66"/>
    </row>
    <row r="9" spans="1:370" x14ac:dyDescent="0.25">
      <c r="B9" s="10" t="s">
        <v>165</v>
      </c>
      <c r="C9" s="34" t="str">
        <f>IF(ISBLANK(D9), "pig",D9)</f>
        <v>pig</v>
      </c>
      <c r="D9" s="60" t="s">
        <v>131</v>
      </c>
      <c r="E9" s="10" t="s">
        <v>165</v>
      </c>
      <c r="F9" s="34" t="str">
        <f>IF(ISBLANK(G9), "pig",G9)</f>
        <v>pig</v>
      </c>
      <c r="G9" s="60" t="s">
        <v>131</v>
      </c>
      <c r="H9" s="10" t="s">
        <v>165</v>
      </c>
      <c r="I9" s="34" t="str">
        <f>IF(ISBLANK(J9), "pig",J9)</f>
        <v>pig</v>
      </c>
      <c r="J9" s="60" t="s">
        <v>131</v>
      </c>
      <c r="K9" s="10" t="s">
        <v>165</v>
      </c>
      <c r="L9" s="34" t="str">
        <f>IF(ISBLANK(M9), "pig",M9)</f>
        <v>pig</v>
      </c>
      <c r="M9" s="60" t="s">
        <v>131</v>
      </c>
      <c r="N9" s="10" t="s">
        <v>165</v>
      </c>
      <c r="O9" s="34" t="str">
        <f>IF(ISBLANK(P9), "pig",P9)</f>
        <v>pig</v>
      </c>
      <c r="P9" s="60" t="s">
        <v>131</v>
      </c>
      <c r="Q9" s="10" t="s">
        <v>165</v>
      </c>
      <c r="R9" s="34" t="str">
        <f>IF(ISBLANK(S9), "pig",S9)</f>
        <v>pig</v>
      </c>
      <c r="S9" s="60" t="s">
        <v>131</v>
      </c>
      <c r="T9" s="10" t="s">
        <v>165</v>
      </c>
      <c r="U9" s="34" t="str">
        <f>IF(ISBLANK(V9), "pig",V9)</f>
        <v>pig</v>
      </c>
      <c r="V9" s="60" t="s">
        <v>131</v>
      </c>
      <c r="W9" s="10" t="s">
        <v>165</v>
      </c>
      <c r="X9" s="34" t="str">
        <f>IF(ISBLANK(Y9), "pig",Y9)</f>
        <v>pig</v>
      </c>
      <c r="Y9" s="60" t="s">
        <v>131</v>
      </c>
      <c r="Z9" s="10" t="s">
        <v>165</v>
      </c>
      <c r="AA9" s="34" t="str">
        <f>IF(ISBLANK(AB9), "pig",AB9)</f>
        <v>pig</v>
      </c>
      <c r="AB9" s="60" t="s">
        <v>131</v>
      </c>
      <c r="AC9" s="10" t="s">
        <v>165</v>
      </c>
      <c r="AD9" s="34" t="str">
        <f>IF(ISBLANK(AE9), "pig",AE9)</f>
        <v>pig</v>
      </c>
      <c r="AE9" s="60" t="s">
        <v>131</v>
      </c>
    </row>
    <row r="10" spans="1:370" x14ac:dyDescent="0.25">
      <c r="B10" s="10" t="s">
        <v>166</v>
      </c>
      <c r="C10" s="34" t="str">
        <f>IF(ISBLANK(D10), "finisher",D10)</f>
        <v>finisher</v>
      </c>
      <c r="D10" s="60" t="s">
        <v>53</v>
      </c>
      <c r="E10" s="10" t="s">
        <v>166</v>
      </c>
      <c r="F10" s="34" t="str">
        <f>IF(ISBLANK(G10), "finisher",G10)</f>
        <v>finisher</v>
      </c>
      <c r="G10" s="60" t="s">
        <v>53</v>
      </c>
      <c r="H10" s="10" t="s">
        <v>166</v>
      </c>
      <c r="I10" s="34" t="str">
        <f>IF(ISBLANK(J10), "finisher",J10)</f>
        <v>finisher</v>
      </c>
      <c r="J10" s="60" t="s">
        <v>53</v>
      </c>
      <c r="K10" s="10" t="s">
        <v>166</v>
      </c>
      <c r="L10" s="34" t="str">
        <f>IF(ISBLANK(M10), "finisher",M10)</f>
        <v>finisher</v>
      </c>
      <c r="M10" s="60" t="s">
        <v>53</v>
      </c>
      <c r="N10" s="10" t="s">
        <v>166</v>
      </c>
      <c r="O10" s="34" t="str">
        <f>IF(ISBLANK(P10), "finisher",P10)</f>
        <v>finisher</v>
      </c>
      <c r="P10" s="60" t="s">
        <v>53</v>
      </c>
      <c r="Q10" s="10" t="s">
        <v>166</v>
      </c>
      <c r="R10" s="34" t="str">
        <f>IF(ISBLANK(S10), "finisher",S10)</f>
        <v>finisher</v>
      </c>
      <c r="S10" s="60" t="s">
        <v>53</v>
      </c>
      <c r="T10" s="10" t="s">
        <v>166</v>
      </c>
      <c r="U10" s="34" t="str">
        <f>IF(ISBLANK(V10), "finisher",V10)</f>
        <v>finisher</v>
      </c>
      <c r="V10" s="60" t="s">
        <v>53</v>
      </c>
      <c r="W10" s="10" t="s">
        <v>166</v>
      </c>
      <c r="X10" s="34" t="str">
        <f>IF(ISBLANK(Y10), "finisher",Y10)</f>
        <v>finisher</v>
      </c>
      <c r="Y10" s="60" t="s">
        <v>53</v>
      </c>
      <c r="Z10" s="10" t="s">
        <v>166</v>
      </c>
      <c r="AA10" s="34" t="str">
        <f>IF(ISBLANK(AB10), "finisher",AB10)</f>
        <v>finisher</v>
      </c>
      <c r="AB10" s="60" t="s">
        <v>53</v>
      </c>
      <c r="AC10" s="10" t="s">
        <v>166</v>
      </c>
      <c r="AD10" s="34" t="str">
        <f>IF(ISBLANK(AE10), "finisher",AE10)</f>
        <v>finisher</v>
      </c>
      <c r="AE10" s="60" t="s">
        <v>53</v>
      </c>
    </row>
    <row r="11" spans="1:370" ht="17.25" x14ac:dyDescent="0.25">
      <c r="B11" s="12" t="s">
        <v>167</v>
      </c>
      <c r="C11" s="37">
        <v>2000</v>
      </c>
      <c r="D11" s="60"/>
      <c r="E11" s="12" t="s">
        <v>167</v>
      </c>
      <c r="F11" s="37">
        <f>IF(COUNT(G11)=1,G11,5000)</f>
        <v>2500</v>
      </c>
      <c r="G11" s="60">
        <v>2500</v>
      </c>
      <c r="H11" s="12" t="s">
        <v>167</v>
      </c>
      <c r="I11" s="37">
        <f>IF(COUNT(J11)=1,J11,5000)</f>
        <v>2500</v>
      </c>
      <c r="J11" s="60">
        <v>2500</v>
      </c>
      <c r="K11" s="12" t="s">
        <v>167</v>
      </c>
      <c r="L11" s="37">
        <f>IF(COUNT(M11)=1,M11,5000)</f>
        <v>2500</v>
      </c>
      <c r="M11" s="60">
        <v>2500</v>
      </c>
      <c r="N11" s="12" t="s">
        <v>167</v>
      </c>
      <c r="O11" s="37">
        <f>IF(COUNT(P11)=1,P11,5000)</f>
        <v>2500</v>
      </c>
      <c r="P11" s="60">
        <v>2500</v>
      </c>
      <c r="Q11" s="12" t="s">
        <v>167</v>
      </c>
      <c r="R11" s="37">
        <f>IF(COUNT(S11)=1,S11,5000)</f>
        <v>2500</v>
      </c>
      <c r="S11" s="60">
        <v>2500</v>
      </c>
      <c r="T11" s="12" t="s">
        <v>167</v>
      </c>
      <c r="U11" s="37">
        <f>IF(COUNT(V11)=1,V11,5000)</f>
        <v>2500</v>
      </c>
      <c r="V11" s="60">
        <v>2500</v>
      </c>
      <c r="W11" s="12" t="s">
        <v>167</v>
      </c>
      <c r="X11" s="37">
        <f>IF(COUNT(Y11)=1,Y11,5000)</f>
        <v>2500</v>
      </c>
      <c r="Y11" s="60">
        <v>2500</v>
      </c>
      <c r="Z11" s="12" t="s">
        <v>167</v>
      </c>
      <c r="AA11" s="37">
        <f>IF(COUNT(AB11)=1,AB11,5000)</f>
        <v>2500</v>
      </c>
      <c r="AB11" s="60">
        <v>2500</v>
      </c>
      <c r="AC11" s="12" t="s">
        <v>167</v>
      </c>
      <c r="AD11" s="37">
        <f>IF(COUNT(AE11)=1,AE11,5000)</f>
        <v>2500</v>
      </c>
      <c r="AE11" s="60">
        <v>2500</v>
      </c>
    </row>
    <row r="12" spans="1:370" ht="16.5" customHeight="1" x14ac:dyDescent="0.25">
      <c r="B12" s="10" t="s">
        <v>168</v>
      </c>
      <c r="C12" s="34" t="str">
        <f>IF(ISBLANK(D12), "finisher, drained + slatted floor (33/67)",D12)</f>
        <v>finisher, drained + slatted floor (33/67)</v>
      </c>
      <c r="D12" s="60" t="s">
        <v>8</v>
      </c>
      <c r="E12" s="10" t="s">
        <v>168</v>
      </c>
      <c r="F12" s="34" t="str">
        <f>IF(ISBLANK(G12), "finisher, drained + slatted floor (33/67)",G12)</f>
        <v>finisher, drained + slatted floor (33/67)</v>
      </c>
      <c r="G12" s="60" t="s">
        <v>8</v>
      </c>
      <c r="H12" s="10" t="s">
        <v>168</v>
      </c>
      <c r="I12" s="34" t="str">
        <f>IF(ISBLANK(J12), "finisher, drained + slatted floor (33/67)",J12)</f>
        <v>finisher, drained + slatted floor (33/67)</v>
      </c>
      <c r="J12" s="60" t="s">
        <v>8</v>
      </c>
      <c r="K12" s="10" t="s">
        <v>168</v>
      </c>
      <c r="L12" s="34" t="str">
        <f>IF(ISBLANK(M12), "finisher, drained + slatted floor (33/67)",M12)</f>
        <v>finisher, drained + slatted floor (33/67)</v>
      </c>
      <c r="M12" s="60" t="s">
        <v>8</v>
      </c>
      <c r="N12" s="10" t="s">
        <v>168</v>
      </c>
      <c r="O12" s="34" t="str">
        <f>IF(ISBLANK(P12), "finisher, drained + slatted floor (33/67)",P12)</f>
        <v>finisher, drained + slatted floor (33/67)</v>
      </c>
      <c r="P12" s="60" t="s">
        <v>8</v>
      </c>
      <c r="Q12" s="10" t="s">
        <v>168</v>
      </c>
      <c r="R12" s="34" t="str">
        <f>IF(ISBLANK(S12), "finisher, drained + slatted floor (33/67)",S12)</f>
        <v>finisher, drained + slatted floor (33/67)</v>
      </c>
      <c r="S12" s="60" t="s">
        <v>8</v>
      </c>
      <c r="T12" s="10" t="s">
        <v>168</v>
      </c>
      <c r="U12" s="34" t="str">
        <f>IF(ISBLANK(V12), "finisher, drained + slatted floor (33/67)",V12)</f>
        <v>finisher, drained + slatted floor (33/67)</v>
      </c>
      <c r="V12" s="60" t="s">
        <v>8</v>
      </c>
      <c r="W12" s="10" t="s">
        <v>168</v>
      </c>
      <c r="X12" s="34" t="str">
        <f>IF(ISBLANK(Y12), "finisher, drained + slatted floor (33/67)",Y12)</f>
        <v>finisher, drained + slatted floor (33/67)</v>
      </c>
      <c r="Y12" s="60" t="s">
        <v>8</v>
      </c>
      <c r="Z12" s="10" t="s">
        <v>168</v>
      </c>
      <c r="AA12" s="34" t="str">
        <f>IF(ISBLANK(AB12), "finisher, drained + slatted floor (33/67)",AB12)</f>
        <v>finisher, drained + slatted floor (33/67)</v>
      </c>
      <c r="AB12" s="60" t="s">
        <v>8</v>
      </c>
      <c r="AC12" s="10" t="s">
        <v>168</v>
      </c>
      <c r="AD12" s="34" t="str">
        <f>IF(ISBLANK(AE12), "finisher, drained + slatted floor (33/67)",AE12)</f>
        <v>finisher, drained + slatted floor (33/67)</v>
      </c>
      <c r="AE12" s="60" t="s">
        <v>8</v>
      </c>
    </row>
    <row r="13" spans="1:370" x14ac:dyDescent="0.25">
      <c r="B13" s="10" t="s">
        <v>169</v>
      </c>
      <c r="C13" s="34" t="str">
        <f>IF(ISBLANK(D13), "vacuum flushing",D13)</f>
        <v>vacuum flushing</v>
      </c>
      <c r="D13" s="60" t="s">
        <v>1</v>
      </c>
      <c r="E13" s="10" t="s">
        <v>169</v>
      </c>
      <c r="F13" s="34" t="str">
        <f>IF(ISBLANK(G13), "vacuum flushing",G13)</f>
        <v>vacuum flushing</v>
      </c>
      <c r="G13" s="60" t="s">
        <v>1</v>
      </c>
      <c r="H13" s="10" t="s">
        <v>169</v>
      </c>
      <c r="I13" s="34" t="str">
        <f>IF(ISBLANK(J13), "vacuum flushing",J13)</f>
        <v>vacuum flushing</v>
      </c>
      <c r="J13" s="60" t="s">
        <v>1</v>
      </c>
      <c r="K13" s="10" t="s">
        <v>169</v>
      </c>
      <c r="L13" s="34" t="str">
        <f>IF(ISBLANK(M13), "vacuum flushing",M13)</f>
        <v>vacuum flushing</v>
      </c>
      <c r="M13" s="60" t="s">
        <v>1</v>
      </c>
      <c r="N13" s="10" t="s">
        <v>169</v>
      </c>
      <c r="O13" s="34" t="str">
        <f>IF(ISBLANK(P13), "vacuum flushing",P13)</f>
        <v>vacuum flushing</v>
      </c>
      <c r="P13" s="60" t="s">
        <v>1</v>
      </c>
      <c r="Q13" s="10" t="s">
        <v>169</v>
      </c>
      <c r="R13" s="34" t="str">
        <f>IF(ISBLANK(S13), "vacuum flushing",S13)</f>
        <v>vacuum flushing</v>
      </c>
      <c r="S13" s="60" t="s">
        <v>1</v>
      </c>
      <c r="T13" s="10" t="s">
        <v>169</v>
      </c>
      <c r="U13" s="34" t="str">
        <f>IF(ISBLANK(V13), "vacuum flushing",V13)</f>
        <v>vacuum flushing</v>
      </c>
      <c r="V13" s="60" t="s">
        <v>1</v>
      </c>
      <c r="W13" s="10" t="s">
        <v>169</v>
      </c>
      <c r="X13" s="34" t="str">
        <f>IF(ISBLANK(Y13), "vacuum flushing",Y13)</f>
        <v>vacuum flushing</v>
      </c>
      <c r="Y13" s="60" t="s">
        <v>1</v>
      </c>
      <c r="Z13" s="10" t="s">
        <v>169</v>
      </c>
      <c r="AA13" s="34" t="str">
        <f>IF(ISBLANK(AB13), "vacuum flushing",AB13)</f>
        <v>vacuum flushing</v>
      </c>
      <c r="AB13" s="60" t="s">
        <v>1</v>
      </c>
      <c r="AC13" s="10" t="s">
        <v>169</v>
      </c>
      <c r="AD13" s="34" t="str">
        <f>IF(ISBLANK(AE13), "vacuum flushing",AE13)</f>
        <v>vacuum flushing</v>
      </c>
      <c r="AE13" s="60" t="s">
        <v>1</v>
      </c>
    </row>
    <row r="14" spans="1:370" x14ac:dyDescent="0.25">
      <c r="B14" s="10" t="s">
        <v>170</v>
      </c>
      <c r="C14" s="34" t="str">
        <f>IF(ISBLANK(D14), "yes",D14)</f>
        <v>yes</v>
      </c>
      <c r="D14" s="61" t="s">
        <v>171</v>
      </c>
      <c r="E14" s="10" t="s">
        <v>170</v>
      </c>
      <c r="F14" s="34" t="str">
        <f>IF(ISBLANK(G14), "yes",G14)</f>
        <v>yes</v>
      </c>
      <c r="G14" s="61" t="s">
        <v>171</v>
      </c>
      <c r="H14" s="10" t="s">
        <v>170</v>
      </c>
      <c r="I14" s="34" t="str">
        <f>IF(ISBLANK(J14), "yes",J14)</f>
        <v>yes</v>
      </c>
      <c r="J14" s="61" t="s">
        <v>171</v>
      </c>
      <c r="K14" s="10" t="s">
        <v>170</v>
      </c>
      <c r="L14" s="34" t="str">
        <f>IF(ISBLANK(M14), "yes",M14)</f>
        <v>yes</v>
      </c>
      <c r="M14" s="61" t="s">
        <v>171</v>
      </c>
      <c r="N14" s="10" t="s">
        <v>170</v>
      </c>
      <c r="O14" s="34" t="str">
        <f>IF(ISBLANK(P14), "yes",P14)</f>
        <v>yes</v>
      </c>
      <c r="P14" s="61" t="s">
        <v>171</v>
      </c>
      <c r="Q14" s="10" t="s">
        <v>170</v>
      </c>
      <c r="R14" s="34" t="str">
        <f>IF(ISBLANK(S14), "yes",S14)</f>
        <v>yes</v>
      </c>
      <c r="S14" s="61" t="s">
        <v>171</v>
      </c>
      <c r="T14" s="10" t="s">
        <v>170</v>
      </c>
      <c r="U14" s="34" t="str">
        <f>IF(ISBLANK(V14), "yes",V14)</f>
        <v>yes</v>
      </c>
      <c r="V14" s="61" t="s">
        <v>171</v>
      </c>
      <c r="W14" s="10" t="s">
        <v>170</v>
      </c>
      <c r="X14" s="34" t="str">
        <f>IF(ISBLANK(Y14), "yes",Y14)</f>
        <v>yes</v>
      </c>
      <c r="Y14" s="61" t="s">
        <v>171</v>
      </c>
      <c r="Z14" s="10" t="s">
        <v>170</v>
      </c>
      <c r="AA14" s="34" t="str">
        <f>IF(ISBLANK(AB14), "yes",AB14)</f>
        <v>yes</v>
      </c>
      <c r="AB14" s="61" t="s">
        <v>171</v>
      </c>
      <c r="AC14" s="10" t="s">
        <v>170</v>
      </c>
      <c r="AD14" s="34" t="str">
        <f>IF(ISBLANK(AE14), "yes",AE14)</f>
        <v>yes</v>
      </c>
      <c r="AE14" s="61" t="s">
        <v>171</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mechanical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f>IF(COUNT(D18)=1,D18,IF(C17 = "natural","variable",HLOOKUP(C12,defaults!$B5:$AB18,MATCH(B18,defaults!$A5:$A18,0),FALSE)))</f>
        <v>18.600000000000001</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60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29</v>
      </c>
      <c r="D20" s="60"/>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5</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f>IF(COUNT(D22)=1,D22,HLOOKUP(C12,defaults!$B5:$AB18,MATCH(B22,defaults!$A5:$A18,0),FALSE))</f>
        <v>84</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25</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5</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156</v>
      </c>
      <c r="E27" s="12" t="s">
        <v>48</v>
      </c>
      <c r="F27" s="22" t="str">
        <f>IF(ISBLANK(G27), "May", G27)</f>
        <v>May</v>
      </c>
      <c r="G27" s="60" t="s">
        <v>156</v>
      </c>
      <c r="H27" s="12" t="s">
        <v>48</v>
      </c>
      <c r="I27" s="22" t="str">
        <f>IF(ISBLANK(J27), "May", J27)</f>
        <v>May</v>
      </c>
      <c r="J27" s="60" t="s">
        <v>156</v>
      </c>
      <c r="K27" s="12" t="s">
        <v>48</v>
      </c>
      <c r="L27" s="22" t="str">
        <f>IF(ISBLANK(M27), "May", M27)</f>
        <v>May</v>
      </c>
      <c r="M27" s="60" t="s">
        <v>156</v>
      </c>
      <c r="N27" s="12" t="s">
        <v>48</v>
      </c>
      <c r="O27" s="22" t="str">
        <f>IF(ISBLANK(P27), "May", P27)</f>
        <v>May</v>
      </c>
      <c r="P27" s="60" t="s">
        <v>156</v>
      </c>
      <c r="Q27" s="12" t="s">
        <v>48</v>
      </c>
      <c r="R27" s="22" t="str">
        <f>IF(ISBLANK(S27), "May", S27)</f>
        <v>May</v>
      </c>
      <c r="S27" s="60" t="s">
        <v>156</v>
      </c>
      <c r="T27" s="12" t="s">
        <v>48</v>
      </c>
      <c r="U27" s="22" t="str">
        <f>IF(ISBLANK(V27), "May", V27)</f>
        <v>May</v>
      </c>
      <c r="V27" s="60" t="s">
        <v>156</v>
      </c>
      <c r="W27" s="12" t="s">
        <v>48</v>
      </c>
      <c r="X27" s="22" t="str">
        <f>IF(ISBLANK(Y27), "May", Y27)</f>
        <v>May</v>
      </c>
      <c r="Y27" s="60" t="s">
        <v>156</v>
      </c>
      <c r="Z27" s="12" t="s">
        <v>48</v>
      </c>
      <c r="AA27" s="22" t="str">
        <f>IF(ISBLANK(AB27), "May", AB27)</f>
        <v>May</v>
      </c>
      <c r="AB27" s="60" t="s">
        <v>156</v>
      </c>
      <c r="AC27" s="12" t="s">
        <v>48</v>
      </c>
      <c r="AD27" s="22" t="str">
        <f>IF(ISBLANK(AE27), "May", AE27)</f>
        <v>May</v>
      </c>
      <c r="AE27" s="60" t="s">
        <v>156</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1.1000000000000001</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172</v>
      </c>
      <c r="C30" s="21">
        <f>IF(COUNT(D30)=1,D30,HLOOKUP(C12,defaults!$A22:$X49,MATCH('in-barn'!C10,defaults!$A22:$A49,0),FALSE))</f>
        <v>0.65</v>
      </c>
      <c r="D30" s="60"/>
      <c r="E30" s="12" t="s">
        <v>172</v>
      </c>
      <c r="F30" s="21">
        <f>IF(COUNT(G30)=1,G30,HLOOKUP(F12,defaults!$A22:$X49,MATCH('in-barn'!F10,defaults!$A22:$A49,0),FALSE))</f>
        <v>0.65</v>
      </c>
      <c r="G30" s="60"/>
      <c r="H30" s="12" t="s">
        <v>172</v>
      </c>
      <c r="I30" s="21">
        <f>IF(COUNT(J30)=1,J30,HLOOKUP(I12,defaults!$A22:$X49,MATCH('in-barn'!I10,defaults!$A22:$A49,0),FALSE))</f>
        <v>0.65</v>
      </c>
      <c r="J30" s="60"/>
      <c r="K30" s="12" t="s">
        <v>172</v>
      </c>
      <c r="L30" s="21">
        <f>IF(COUNT(M30)=1,M30,HLOOKUP(L12,defaults!$A22:$X49,MATCH('in-barn'!L10,defaults!$A22:$A49,0),FALSE))</f>
        <v>0.65</v>
      </c>
      <c r="M30" s="60"/>
      <c r="N30" s="12" t="s">
        <v>172</v>
      </c>
      <c r="O30" s="21">
        <f>IF(COUNT(P30)=1,P30,HLOOKUP(O12,defaults!$A22:$X49,MATCH('in-barn'!O10,defaults!$A22:$A49,0),FALSE))</f>
        <v>0.65</v>
      </c>
      <c r="P30" s="60"/>
      <c r="Q30" s="12" t="s">
        <v>172</v>
      </c>
      <c r="R30" s="21">
        <f>IF(COUNT(S30)=1,S30,HLOOKUP(R12,defaults!$A22:$X49,MATCH('in-barn'!R10,defaults!$A22:$A49,0),FALSE))</f>
        <v>0.65</v>
      </c>
      <c r="S30" s="60"/>
      <c r="T30" s="12" t="s">
        <v>172</v>
      </c>
      <c r="U30" s="21">
        <f>IF(COUNT(V30)=1,V30,HLOOKUP(U12,defaults!$A22:$X49,MATCH('in-barn'!U10,defaults!$A22:$A49,0),FALSE))</f>
        <v>0.65</v>
      </c>
      <c r="V30" s="60"/>
      <c r="W30" s="12" t="s">
        <v>172</v>
      </c>
      <c r="X30" s="21">
        <f>IF(COUNT(Y30)=1,Y30,HLOOKUP(X12,defaults!$A22:$X49,MATCH('in-barn'!X10,defaults!$A22:$A49,0),FALSE))</f>
        <v>0.65</v>
      </c>
      <c r="Y30" s="60"/>
      <c r="Z30" s="12" t="s">
        <v>172</v>
      </c>
      <c r="AA30" s="21">
        <f>IF(COUNT(AB30)=1,AB30,HLOOKUP(AA12,defaults!$A22:$X49,MATCH('in-barn'!AA10,defaults!$A22:$A49,0),FALSE))</f>
        <v>0.65</v>
      </c>
      <c r="AB30" s="60"/>
      <c r="AC30" s="12" t="s">
        <v>172</v>
      </c>
      <c r="AD30" s="21">
        <f>IF(COUNT(AE30)=1,AE30,HLOOKUP(AD12,defaults!$A22:$X49,MATCH('in-barn'!AD10,defaults!$A22:$A49,0),FALSE))</f>
        <v>0.65</v>
      </c>
      <c r="AE30" s="60"/>
    </row>
    <row r="31" spans="2:31" ht="16.5" customHeight="1" x14ac:dyDescent="0.25">
      <c r="B31" s="12" t="s">
        <v>173</v>
      </c>
      <c r="C31" s="57">
        <f>C30*C11</f>
        <v>1300</v>
      </c>
      <c r="D31" s="60"/>
      <c r="E31" s="12" t="s">
        <v>173</v>
      </c>
      <c r="F31" s="57">
        <f>F30*F11</f>
        <v>1625</v>
      </c>
      <c r="G31" s="60"/>
      <c r="H31" s="12" t="s">
        <v>173</v>
      </c>
      <c r="I31" s="57">
        <f>I30*I11</f>
        <v>1625</v>
      </c>
      <c r="J31" s="60"/>
      <c r="K31" s="12" t="s">
        <v>173</v>
      </c>
      <c r="L31" s="57">
        <f>L30*L11</f>
        <v>1625</v>
      </c>
      <c r="M31" s="60"/>
      <c r="N31" s="12" t="s">
        <v>173</v>
      </c>
      <c r="O31" s="57">
        <f>O30*O11</f>
        <v>1625</v>
      </c>
      <c r="P31" s="60"/>
      <c r="Q31" s="12" t="s">
        <v>173</v>
      </c>
      <c r="R31" s="57">
        <f>R30*R11</f>
        <v>1625</v>
      </c>
      <c r="S31" s="60"/>
      <c r="T31" s="12" t="s">
        <v>173</v>
      </c>
      <c r="U31" s="57">
        <f>U30*U11</f>
        <v>1625</v>
      </c>
      <c r="V31" s="60"/>
      <c r="W31" s="12" t="s">
        <v>173</v>
      </c>
      <c r="X31" s="57">
        <f>X30*X11</f>
        <v>1625</v>
      </c>
      <c r="Y31" s="60"/>
      <c r="Z31" s="12" t="s">
        <v>173</v>
      </c>
      <c r="AA31" s="57">
        <f>AA30*AA11</f>
        <v>1625</v>
      </c>
      <c r="AB31" s="60"/>
      <c r="AC31" s="12" t="s">
        <v>173</v>
      </c>
      <c r="AD31" s="57">
        <f>AD30*AD11</f>
        <v>1625</v>
      </c>
      <c r="AE31" s="60"/>
    </row>
    <row r="32" spans="2:31" ht="17.25" x14ac:dyDescent="0.25">
      <c r="B32" s="12" t="s">
        <v>174</v>
      </c>
      <c r="C32" s="57">
        <f>C31*C29</f>
        <v>1430.0000000000002</v>
      </c>
      <c r="D32" s="61"/>
      <c r="E32" s="12" t="s">
        <v>174</v>
      </c>
      <c r="F32" s="57">
        <f>F31*F29</f>
        <v>1787.5000000000002</v>
      </c>
      <c r="G32" s="61"/>
      <c r="H32" s="12" t="s">
        <v>174</v>
      </c>
      <c r="I32" s="57">
        <f>I31*I29</f>
        <v>1787.5000000000002</v>
      </c>
      <c r="J32" s="61"/>
      <c r="K32" s="12" t="s">
        <v>174</v>
      </c>
      <c r="L32" s="57">
        <f>L31*L29</f>
        <v>1787.5000000000002</v>
      </c>
      <c r="M32" s="61"/>
      <c r="N32" s="12" t="s">
        <v>174</v>
      </c>
      <c r="O32" s="57">
        <f>O31*O29</f>
        <v>1787.5000000000002</v>
      </c>
      <c r="P32" s="61"/>
      <c r="Q32" s="12" t="s">
        <v>174</v>
      </c>
      <c r="R32" s="57">
        <f>R31*R29</f>
        <v>1787.5000000000002</v>
      </c>
      <c r="S32" s="61"/>
      <c r="T32" s="12" t="s">
        <v>174</v>
      </c>
      <c r="U32" s="57">
        <f>U31*U29</f>
        <v>1787.5000000000002</v>
      </c>
      <c r="V32" s="61"/>
      <c r="W32" s="12" t="s">
        <v>174</v>
      </c>
      <c r="X32" s="57">
        <f>X31*X29</f>
        <v>1787.5000000000002</v>
      </c>
      <c r="Y32" s="61"/>
      <c r="Z32" s="12" t="s">
        <v>174</v>
      </c>
      <c r="AA32" s="57">
        <f>AA31*AA29</f>
        <v>1787.5000000000002</v>
      </c>
      <c r="AB32" s="61"/>
      <c r="AC32" s="12" t="s">
        <v>174</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175</v>
      </c>
      <c r="C34" s="21"/>
      <c r="D34" s="59"/>
      <c r="E34" s="26" t="s">
        <v>175</v>
      </c>
      <c r="F34" s="21"/>
      <c r="G34" s="59"/>
      <c r="H34" s="26" t="s">
        <v>175</v>
      </c>
      <c r="I34" s="21"/>
      <c r="J34" s="59"/>
      <c r="K34" s="26" t="s">
        <v>175</v>
      </c>
      <c r="L34" s="21"/>
      <c r="M34" s="59"/>
      <c r="N34" s="26" t="s">
        <v>175</v>
      </c>
      <c r="O34" s="21"/>
      <c r="P34" s="59"/>
      <c r="Q34" s="26" t="s">
        <v>175</v>
      </c>
      <c r="R34" s="21"/>
      <c r="S34" s="59"/>
      <c r="T34" s="26" t="s">
        <v>175</v>
      </c>
      <c r="U34" s="21"/>
      <c r="V34" s="59"/>
      <c r="W34" s="26" t="s">
        <v>175</v>
      </c>
      <c r="X34" s="21"/>
      <c r="Y34" s="59"/>
      <c r="Z34" s="26" t="s">
        <v>175</v>
      </c>
      <c r="AA34" s="21"/>
      <c r="AB34" s="59"/>
      <c r="AC34" s="26" t="s">
        <v>175</v>
      </c>
      <c r="AD34" s="21"/>
      <c r="AE34" s="59"/>
    </row>
    <row r="35" spans="2:31" ht="16.5" customHeight="1" x14ac:dyDescent="0.25">
      <c r="B35" s="12" t="s">
        <v>81</v>
      </c>
      <c r="C35" s="22">
        <f>IF(COUNT(D35)=1,D35,HLOOKUP(C10,defaults!$B51:$AB71,MATCH(B35,defaults!$A51:$A72,0),FALSE))</f>
        <v>84</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animal-1</v>
      </c>
      <c r="C36" s="22">
        <f>IF(COUNT(D36)=1,D36,HLOOKUP('in-barn'!C10,defaults!$A$51:$AB$72,MATCH('in-barn'!B36,defaults!$A$51:$A$72,0),FALSE))</f>
        <v>213.23076923076925</v>
      </c>
      <c r="D36" s="60"/>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0</v>
      </c>
      <c r="D37" s="60"/>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0</v>
      </c>
      <c r="D38" s="60"/>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176</v>
      </c>
      <c r="C39" s="22">
        <f>IF(COUNT(D39)=1,D39,HLOOKUP(C10,defaults!$A51:$AB72,MATCH('in-barn'!B39,defaults!$A51:$A72,0),FALSE))</f>
        <v>73</v>
      </c>
      <c r="D39" s="60"/>
      <c r="E39" s="12" t="s">
        <v>176</v>
      </c>
      <c r="F39" s="22">
        <f>IF(COUNT(G39)=1,G39,HLOOKUP(F10,defaults!$A51:$AB72,MATCH('in-barn'!E39,defaults!$A51:$A72,0),FALSE))</f>
        <v>73</v>
      </c>
      <c r="G39" s="60"/>
      <c r="H39" s="12" t="s">
        <v>176</v>
      </c>
      <c r="I39" s="22">
        <f>IF(COUNT(J39)=1,J39,HLOOKUP(I10,defaults!$A51:$AB72,MATCH('in-barn'!H39,defaults!$A51:$A72,0),FALSE))</f>
        <v>73</v>
      </c>
      <c r="J39" s="60"/>
      <c r="K39" s="12" t="s">
        <v>176</v>
      </c>
      <c r="L39" s="22">
        <f>IF(COUNT(M39)=1,M39,HLOOKUP(L10,defaults!$A51:$AB72,MATCH('in-barn'!K39,defaults!$A51:$A72,0),FALSE))</f>
        <v>73</v>
      </c>
      <c r="M39" s="60"/>
      <c r="N39" s="12" t="s">
        <v>176</v>
      </c>
      <c r="O39" s="22">
        <f>IF(COUNT(P39)=1,P39,HLOOKUP(O10,defaults!$A51:$AB72,MATCH('in-barn'!N39,defaults!$A51:$A72,0),FALSE))</f>
        <v>73</v>
      </c>
      <c r="P39" s="60"/>
      <c r="Q39" s="12" t="s">
        <v>176</v>
      </c>
      <c r="R39" s="22">
        <f>IF(COUNT(S39)=1,S39,HLOOKUP(R10,defaults!$A51:$AB72,MATCH('in-barn'!Q39,defaults!$A51:$A72,0),FALSE))</f>
        <v>73</v>
      </c>
      <c r="S39" s="60"/>
      <c r="T39" s="12" t="s">
        <v>176</v>
      </c>
      <c r="U39" s="22">
        <f>IF(COUNT(V39)=1,V39,HLOOKUP(U10,defaults!$A51:$AB72,MATCH('in-barn'!T39,defaults!$A51:$A72,0),FALSE))</f>
        <v>73</v>
      </c>
      <c r="V39" s="60"/>
      <c r="W39" s="12" t="s">
        <v>176</v>
      </c>
      <c r="X39" s="22">
        <f>IF(COUNT(Y39)=1,Y39,HLOOKUP(X10,defaults!$A51:$AB72,MATCH('in-barn'!W39,defaults!$A51:$A72,0),FALSE))</f>
        <v>73</v>
      </c>
      <c r="Y39" s="60"/>
      <c r="Z39" s="12" t="s">
        <v>176</v>
      </c>
      <c r="AA39" s="22">
        <f>IF(COUNT(AB39)=1,AB39,HLOOKUP(AA10,defaults!$A51:$AB72,MATCH('in-barn'!Z39,defaults!$A51:$A72,0),FALSE))</f>
        <v>73</v>
      </c>
      <c r="AB39" s="60"/>
      <c r="AC39" s="12" t="s">
        <v>176</v>
      </c>
      <c r="AD39" s="22">
        <f>IF(COUNT(AE39)=1,AE39,HLOOKUP(AD10,defaults!$A51:$AB72,MATCH('in-barn'!AC39,defaults!$A51:$A72,0),FALSE))</f>
        <v>73</v>
      </c>
      <c r="AE39" s="60"/>
    </row>
    <row r="40" spans="2:31" ht="16.5" customHeight="1" x14ac:dyDescent="0.25">
      <c r="B40" s="12" t="s">
        <v>177</v>
      </c>
      <c r="C40" s="22">
        <f>IF(COUNT(D40)=1,D40,HLOOKUP(C12,defaults!$B74:$AA107,MATCH(C10,defaults!$A74:$A107,0),FALSE))</f>
        <v>0</v>
      </c>
      <c r="D40" s="60"/>
      <c r="E40" s="12" t="s">
        <v>177</v>
      </c>
      <c r="F40" s="22">
        <f>IF(COUNT(G40)=1,G40,HLOOKUP(F12,defaults!$B74:$AA107,MATCH(F10,defaults!$A74:$A107,0),FALSE))</f>
        <v>0</v>
      </c>
      <c r="G40" s="60"/>
      <c r="H40" s="12" t="s">
        <v>177</v>
      </c>
      <c r="I40" s="22">
        <f>IF(COUNT(J40)=1,J40,HLOOKUP(I12,defaults!$B74:$AA107,MATCH(I10,defaults!$A74:$A107,0),FALSE))</f>
        <v>0</v>
      </c>
      <c r="J40" s="60"/>
      <c r="K40" s="12" t="s">
        <v>177</v>
      </c>
      <c r="L40" s="22">
        <f>IF(COUNT(M40)=1,M40,HLOOKUP(L12,defaults!$B74:$AA107,MATCH(L10,defaults!$A74:$A107,0),FALSE))</f>
        <v>0</v>
      </c>
      <c r="M40" s="60"/>
      <c r="N40" s="12" t="s">
        <v>177</v>
      </c>
      <c r="O40" s="22">
        <f>IF(COUNT(P40)=1,P40,HLOOKUP(O12,defaults!$B74:$AA107,MATCH(O10,defaults!$A74:$A107,0),FALSE))</f>
        <v>0</v>
      </c>
      <c r="P40" s="60"/>
      <c r="Q40" s="12" t="s">
        <v>177</v>
      </c>
      <c r="R40" s="22">
        <f>IF(COUNT(S40)=1,S40,HLOOKUP(R12,defaults!$B74:$AA107,MATCH(R10,defaults!$A74:$A107,0),FALSE))</f>
        <v>0</v>
      </c>
      <c r="S40" s="60"/>
      <c r="T40" s="12" t="s">
        <v>177</v>
      </c>
      <c r="U40" s="22">
        <f>IF(COUNT(V40)=1,V40,HLOOKUP(U12,defaults!$B74:$AA107,MATCH(U10,defaults!$A74:$A107,0),FALSE))</f>
        <v>0</v>
      </c>
      <c r="V40" s="60"/>
      <c r="W40" s="12" t="s">
        <v>177</v>
      </c>
      <c r="X40" s="22">
        <f>IF(COUNT(Y40)=1,Y40,HLOOKUP(X12,defaults!$B74:$AA107,MATCH(X10,defaults!$A74:$A107,0),FALSE))</f>
        <v>0</v>
      </c>
      <c r="Y40" s="60"/>
      <c r="Z40" s="12" t="s">
        <v>177</v>
      </c>
      <c r="AA40" s="22">
        <f>IF(COUNT(AB40)=1,AB40,HLOOKUP(AA12,defaults!$B74:$AA107,MATCH(AA10,defaults!$A74:$A107,0),FALSE))</f>
        <v>0</v>
      </c>
      <c r="AB40" s="60"/>
      <c r="AC40" s="12" t="s">
        <v>177</v>
      </c>
      <c r="AD40" s="22">
        <f>IF(COUNT(AE40)=1,AE40,HLOOKUP(AD12,defaults!$B74:$AA107,MATCH(AD10,defaults!$A74:$A107,0),FALSE))</f>
        <v>0</v>
      </c>
      <c r="AE40" s="60"/>
    </row>
    <row r="41" spans="2:31" ht="16.5" customHeight="1" x14ac:dyDescent="0.25">
      <c r="B41" s="12" t="s">
        <v>91</v>
      </c>
      <c r="C41" s="22">
        <f>IF(COUNT(D41)=1,D41,HLOOKUP(C10,defaults!$A51:$AB72,MATCH('in-barn'!B41,defaults!$A51:$A72,0),FALSE))</f>
        <v>2</v>
      </c>
      <c r="D41" s="60"/>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811</v>
      </c>
      <c r="C42" s="22">
        <f>IF(COUNT(D42)=1,D42,HLOOKUP(C10,defaults!$A51:$AB72,MATCH('in-barn'!B42,defaults!$A51:$A72,0),FALSE))</f>
        <v>75</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2</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178</v>
      </c>
      <c r="C44" s="22">
        <f>IF(COUNT(D44)=1,D44,85)</f>
        <v>85</v>
      </c>
      <c r="D44" s="61"/>
      <c r="E44" s="12" t="s">
        <v>178</v>
      </c>
      <c r="F44" s="22">
        <f>IF(COUNT(G44)=1,G44,85)</f>
        <v>85</v>
      </c>
      <c r="G44" s="61"/>
      <c r="H44" s="12" t="s">
        <v>178</v>
      </c>
      <c r="I44" s="22">
        <f>IF(COUNT(J44)=1,J44,85)</f>
        <v>85</v>
      </c>
      <c r="J44" s="61"/>
      <c r="K44" s="12" t="s">
        <v>178</v>
      </c>
      <c r="L44" s="22">
        <f>IF(COUNT(M44)=1,M44,85)</f>
        <v>85</v>
      </c>
      <c r="M44" s="61"/>
      <c r="N44" s="12" t="s">
        <v>178</v>
      </c>
      <c r="O44" s="22">
        <f>IF(COUNT(P44)=1,P44,85)</f>
        <v>85</v>
      </c>
      <c r="P44" s="61"/>
      <c r="Q44" s="12" t="s">
        <v>178</v>
      </c>
      <c r="R44" s="22">
        <f>IF(COUNT(S44)=1,S44,85)</f>
        <v>85</v>
      </c>
      <c r="S44" s="61"/>
      <c r="T44" s="12" t="s">
        <v>178</v>
      </c>
      <c r="U44" s="22">
        <f>IF(COUNT(V44)=1,V44,85)</f>
        <v>85</v>
      </c>
      <c r="V44" s="61"/>
      <c r="W44" s="12" t="s">
        <v>178</v>
      </c>
      <c r="X44" s="22">
        <f>IF(COUNT(Y44)=1,Y44,85)</f>
        <v>85</v>
      </c>
      <c r="Y44" s="61"/>
      <c r="Z44" s="12" t="s">
        <v>178</v>
      </c>
      <c r="AA44" s="22">
        <f>IF(COUNT(AB44)=1,AB44,85)</f>
        <v>85</v>
      </c>
      <c r="AB44" s="61"/>
      <c r="AC44" s="12" t="s">
        <v>178</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(mass % of wet feed)</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115</v>
      </c>
      <c r="C47" s="38">
        <v>27</v>
      </c>
      <c r="D47" s="60"/>
      <c r="E47" s="35" t="s">
        <v>115</v>
      </c>
      <c r="F47" s="38">
        <v>47.2</v>
      </c>
      <c r="G47" s="60"/>
      <c r="H47" s="35" t="s">
        <v>115</v>
      </c>
      <c r="I47" s="38">
        <v>47.2</v>
      </c>
      <c r="J47" s="60"/>
      <c r="K47" s="35" t="s">
        <v>115</v>
      </c>
      <c r="L47" s="38">
        <v>47.2</v>
      </c>
      <c r="M47" s="60"/>
      <c r="N47" s="35" t="s">
        <v>115</v>
      </c>
      <c r="O47" s="38">
        <v>47.2</v>
      </c>
      <c r="P47" s="60"/>
      <c r="Q47" s="35" t="s">
        <v>115</v>
      </c>
      <c r="R47" s="38">
        <v>47.2</v>
      </c>
      <c r="S47" s="60"/>
      <c r="T47" s="35" t="s">
        <v>115</v>
      </c>
      <c r="U47" s="38">
        <v>47.2</v>
      </c>
      <c r="V47" s="60"/>
      <c r="W47" s="35" t="s">
        <v>115</v>
      </c>
      <c r="X47" s="38">
        <v>47.2</v>
      </c>
      <c r="Y47" s="60"/>
      <c r="Z47" s="35" t="s">
        <v>115</v>
      </c>
      <c r="AA47" s="38">
        <v>47.2</v>
      </c>
      <c r="AB47" s="60"/>
      <c r="AC47" s="35" t="s">
        <v>115</v>
      </c>
      <c r="AD47" s="38">
        <v>47.2</v>
      </c>
      <c r="AE47" s="60"/>
    </row>
    <row r="48" spans="2:31" ht="15" customHeight="1" x14ac:dyDescent="0.25">
      <c r="B48" s="35" t="s">
        <v>114</v>
      </c>
      <c r="C48" s="38">
        <v>40.43</v>
      </c>
      <c r="D48" s="60"/>
      <c r="E48" s="35" t="s">
        <v>114</v>
      </c>
      <c r="F48" s="38">
        <v>24.49</v>
      </c>
      <c r="H48" s="35" t="s">
        <v>114</v>
      </c>
      <c r="I48" s="38">
        <v>24.49</v>
      </c>
      <c r="J48" s="60"/>
      <c r="K48" s="35" t="s">
        <v>114</v>
      </c>
      <c r="L48" s="38">
        <v>24.49</v>
      </c>
      <c r="M48" s="60"/>
      <c r="N48" s="35" t="s">
        <v>114</v>
      </c>
      <c r="O48" s="38">
        <v>24.49</v>
      </c>
      <c r="P48" s="60"/>
      <c r="Q48" s="35" t="s">
        <v>114</v>
      </c>
      <c r="R48" s="38">
        <v>24.49</v>
      </c>
      <c r="S48" s="60"/>
      <c r="T48" s="35" t="s">
        <v>114</v>
      </c>
      <c r="U48" s="38">
        <v>24.49</v>
      </c>
      <c r="V48" s="60"/>
      <c r="W48" s="35" t="s">
        <v>114</v>
      </c>
      <c r="X48" s="38">
        <v>24.49</v>
      </c>
      <c r="Y48" s="60"/>
      <c r="Z48" s="35" t="s">
        <v>114</v>
      </c>
      <c r="AA48" s="38">
        <v>24.49</v>
      </c>
      <c r="AB48" s="60"/>
      <c r="AC48" s="35" t="s">
        <v>114</v>
      </c>
      <c r="AD48" s="38">
        <v>24.49</v>
      </c>
      <c r="AE48" s="60"/>
    </row>
    <row r="49" spans="2:31" x14ac:dyDescent="0.25">
      <c r="B49" s="71" t="s">
        <v>116</v>
      </c>
      <c r="C49" s="38">
        <v>10</v>
      </c>
      <c r="D49" s="60"/>
      <c r="E49" s="35" t="s">
        <v>116</v>
      </c>
      <c r="F49" s="38">
        <v>10</v>
      </c>
      <c r="G49" s="60"/>
      <c r="H49" s="35" t="s">
        <v>116</v>
      </c>
      <c r="I49" s="38">
        <v>10</v>
      </c>
      <c r="J49" s="60"/>
      <c r="K49" s="35" t="s">
        <v>116</v>
      </c>
      <c r="L49" s="38">
        <v>10</v>
      </c>
      <c r="M49" s="60"/>
      <c r="N49" s="35" t="s">
        <v>116</v>
      </c>
      <c r="O49" s="38">
        <v>10</v>
      </c>
      <c r="P49" s="60"/>
      <c r="Q49" s="35" t="s">
        <v>116</v>
      </c>
      <c r="R49" s="38">
        <v>10</v>
      </c>
      <c r="S49" s="60"/>
      <c r="T49" s="35" t="s">
        <v>116</v>
      </c>
      <c r="U49" s="38">
        <v>10</v>
      </c>
      <c r="V49" s="60"/>
      <c r="W49" s="35" t="s">
        <v>116</v>
      </c>
      <c r="X49" s="38">
        <v>10</v>
      </c>
      <c r="Y49" s="60"/>
      <c r="Z49" s="35" t="s">
        <v>116</v>
      </c>
      <c r="AA49" s="38">
        <v>10</v>
      </c>
      <c r="AB49" s="60"/>
      <c r="AC49" s="35" t="s">
        <v>116</v>
      </c>
      <c r="AD49" s="38">
        <v>10</v>
      </c>
      <c r="AE49" s="60"/>
    </row>
    <row r="50" spans="2:31" x14ac:dyDescent="0.25">
      <c r="B50" s="35" t="s">
        <v>128</v>
      </c>
      <c r="C50" s="38">
        <v>0</v>
      </c>
      <c r="D50" s="60"/>
      <c r="E50" s="35" t="s">
        <v>179</v>
      </c>
      <c r="F50" s="38">
        <v>0.6</v>
      </c>
      <c r="G50" s="60"/>
      <c r="H50" s="35" t="s">
        <v>179</v>
      </c>
      <c r="I50" s="38">
        <v>0.6</v>
      </c>
      <c r="J50" s="60"/>
      <c r="K50" s="35" t="s">
        <v>179</v>
      </c>
      <c r="L50" s="38">
        <v>0.6</v>
      </c>
      <c r="M50" s="60"/>
      <c r="N50" s="35" t="s">
        <v>179</v>
      </c>
      <c r="O50" s="38">
        <v>0.6</v>
      </c>
      <c r="P50" s="60"/>
      <c r="Q50" s="35" t="s">
        <v>179</v>
      </c>
      <c r="R50" s="38">
        <v>0.6</v>
      </c>
      <c r="S50" s="60"/>
      <c r="T50" s="35" t="s">
        <v>179</v>
      </c>
      <c r="U50" s="38">
        <v>0.6</v>
      </c>
      <c r="V50" s="60"/>
      <c r="W50" s="35" t="s">
        <v>179</v>
      </c>
      <c r="X50" s="38">
        <v>0.6</v>
      </c>
      <c r="Y50" s="60"/>
      <c r="Z50" s="35" t="s">
        <v>179</v>
      </c>
      <c r="AA50" s="38">
        <v>0.6</v>
      </c>
      <c r="AB50" s="60"/>
      <c r="AC50" s="35" t="s">
        <v>179</v>
      </c>
      <c r="AD50" s="38">
        <v>0.6</v>
      </c>
      <c r="AE50" s="60"/>
    </row>
    <row r="51" spans="2:31" x14ac:dyDescent="0.25">
      <c r="B51" s="35" t="s">
        <v>127</v>
      </c>
      <c r="C51" s="38">
        <v>0</v>
      </c>
      <c r="D51" s="60"/>
      <c r="E51" s="35" t="s">
        <v>180</v>
      </c>
      <c r="F51" s="38">
        <v>1.6</v>
      </c>
      <c r="G51" s="60"/>
      <c r="H51" s="35" t="s">
        <v>180</v>
      </c>
      <c r="I51" s="38">
        <v>1.6</v>
      </c>
      <c r="J51" s="60"/>
      <c r="K51" s="35" t="s">
        <v>180</v>
      </c>
      <c r="L51" s="38">
        <v>1.6</v>
      </c>
      <c r="M51" s="60"/>
      <c r="N51" s="35" t="s">
        <v>180</v>
      </c>
      <c r="O51" s="38">
        <v>1.6</v>
      </c>
      <c r="P51" s="60"/>
      <c r="Q51" s="35" t="s">
        <v>180</v>
      </c>
      <c r="R51" s="38">
        <v>1.6</v>
      </c>
      <c r="S51" s="60"/>
      <c r="T51" s="35" t="s">
        <v>180</v>
      </c>
      <c r="U51" s="38">
        <v>1.6</v>
      </c>
      <c r="V51" s="60"/>
      <c r="W51" s="35" t="s">
        <v>180</v>
      </c>
      <c r="X51" s="38">
        <v>1.6</v>
      </c>
      <c r="Y51" s="60"/>
      <c r="Z51" s="35" t="s">
        <v>180</v>
      </c>
      <c r="AA51" s="38">
        <v>1.6</v>
      </c>
      <c r="AB51" s="60"/>
      <c r="AC51" s="35" t="s">
        <v>180</v>
      </c>
      <c r="AD51" s="38">
        <v>1.6</v>
      </c>
      <c r="AE51" s="60"/>
    </row>
    <row r="52" spans="2:31" x14ac:dyDescent="0.25">
      <c r="B52" s="35" t="s">
        <v>122</v>
      </c>
      <c r="C52" s="38">
        <v>0</v>
      </c>
      <c r="D52" s="60"/>
      <c r="E52" s="35" t="s">
        <v>121</v>
      </c>
      <c r="F52" s="38">
        <v>0.3</v>
      </c>
      <c r="G52" s="60"/>
      <c r="H52" s="35" t="s">
        <v>121</v>
      </c>
      <c r="I52" s="38">
        <v>0.3</v>
      </c>
      <c r="J52" s="60"/>
      <c r="K52" s="35" t="s">
        <v>121</v>
      </c>
      <c r="L52" s="38">
        <v>0.3</v>
      </c>
      <c r="M52" s="60"/>
      <c r="N52" s="35" t="s">
        <v>121</v>
      </c>
      <c r="O52" s="38">
        <v>0.3</v>
      </c>
      <c r="P52" s="60"/>
      <c r="Q52" s="35" t="s">
        <v>121</v>
      </c>
      <c r="R52" s="38">
        <v>0.3</v>
      </c>
      <c r="S52" s="60"/>
      <c r="T52" s="35" t="s">
        <v>121</v>
      </c>
      <c r="U52" s="38">
        <v>0.3</v>
      </c>
      <c r="V52" s="60"/>
      <c r="W52" s="35" t="s">
        <v>121</v>
      </c>
      <c r="X52" s="38">
        <v>0.3</v>
      </c>
      <c r="Y52" s="60"/>
      <c r="Z52" s="35" t="s">
        <v>121</v>
      </c>
      <c r="AA52" s="38">
        <v>0.3</v>
      </c>
      <c r="AB52" s="60"/>
      <c r="AC52" s="35" t="s">
        <v>121</v>
      </c>
      <c r="AD52" s="38">
        <v>0.3</v>
      </c>
      <c r="AE52" s="60"/>
    </row>
    <row r="53" spans="2:31" x14ac:dyDescent="0.25">
      <c r="B53" s="35" t="s">
        <v>117</v>
      </c>
      <c r="C53" s="38">
        <v>16.7</v>
      </c>
      <c r="D53" s="60"/>
      <c r="E53" s="35" t="s">
        <v>117</v>
      </c>
      <c r="F53" s="38">
        <v>8.1</v>
      </c>
      <c r="G53" s="60"/>
      <c r="H53" s="35" t="s">
        <v>117</v>
      </c>
      <c r="I53" s="38">
        <v>8.1</v>
      </c>
      <c r="J53" s="60"/>
      <c r="K53" s="35" t="s">
        <v>117</v>
      </c>
      <c r="L53" s="38">
        <v>8.1</v>
      </c>
      <c r="M53" s="60"/>
      <c r="N53" s="35" t="s">
        <v>117</v>
      </c>
      <c r="O53" s="38">
        <v>8.1</v>
      </c>
      <c r="P53" s="60"/>
      <c r="Q53" s="35" t="s">
        <v>117</v>
      </c>
      <c r="R53" s="38">
        <v>8.1</v>
      </c>
      <c r="S53" s="60"/>
      <c r="T53" s="35" t="s">
        <v>117</v>
      </c>
      <c r="U53" s="38">
        <v>8.1</v>
      </c>
      <c r="V53" s="60"/>
      <c r="W53" s="35" t="s">
        <v>117</v>
      </c>
      <c r="X53" s="38">
        <v>8.1</v>
      </c>
      <c r="Y53" s="60"/>
      <c r="Z53" s="35" t="s">
        <v>117</v>
      </c>
      <c r="AA53" s="38">
        <v>8.1</v>
      </c>
      <c r="AB53" s="60"/>
      <c r="AC53" s="35" t="s">
        <v>117</v>
      </c>
      <c r="AD53" s="38">
        <v>8.1</v>
      </c>
      <c r="AE53" s="60"/>
    </row>
    <row r="54" spans="2:31" x14ac:dyDescent="0.25">
      <c r="B54" s="35" t="s">
        <v>118</v>
      </c>
      <c r="C54" s="38">
        <v>2</v>
      </c>
      <c r="D54" s="60"/>
      <c r="E54" s="35" t="s">
        <v>118</v>
      </c>
      <c r="F54" s="38">
        <v>5.2</v>
      </c>
      <c r="G54" s="60"/>
      <c r="H54" s="35" t="s">
        <v>118</v>
      </c>
      <c r="I54" s="38">
        <v>5.2</v>
      </c>
      <c r="J54" s="60"/>
      <c r="K54" s="35" t="s">
        <v>118</v>
      </c>
      <c r="L54" s="38">
        <v>5.2</v>
      </c>
      <c r="M54" s="60"/>
      <c r="N54" s="35" t="s">
        <v>118</v>
      </c>
      <c r="O54" s="38">
        <v>5.2</v>
      </c>
      <c r="P54" s="60"/>
      <c r="Q54" s="35" t="s">
        <v>118</v>
      </c>
      <c r="R54" s="38">
        <v>5.2</v>
      </c>
      <c r="S54" s="60"/>
      <c r="T54" s="35" t="s">
        <v>118</v>
      </c>
      <c r="U54" s="38">
        <v>5.2</v>
      </c>
      <c r="V54" s="60"/>
      <c r="W54" s="35" t="s">
        <v>118</v>
      </c>
      <c r="X54" s="38">
        <v>5.2</v>
      </c>
      <c r="Y54" s="60"/>
      <c r="Z54" s="35" t="s">
        <v>118</v>
      </c>
      <c r="AA54" s="38">
        <v>5.2</v>
      </c>
      <c r="AB54" s="60"/>
      <c r="AC54" s="35" t="s">
        <v>118</v>
      </c>
      <c r="AD54" s="38">
        <v>5.2</v>
      </c>
      <c r="AE54" s="60"/>
    </row>
    <row r="55" spans="2:31" x14ac:dyDescent="0.25">
      <c r="B55" s="72" t="s">
        <v>119</v>
      </c>
      <c r="C55" s="38">
        <v>0.8</v>
      </c>
      <c r="D55" s="60"/>
      <c r="E55" s="35" t="s">
        <v>119</v>
      </c>
      <c r="F55" s="38">
        <v>0.5</v>
      </c>
      <c r="G55" s="60"/>
      <c r="H55" s="35" t="s">
        <v>119</v>
      </c>
      <c r="I55" s="38">
        <v>0.5</v>
      </c>
      <c r="J55" s="60"/>
      <c r="K55" s="35" t="s">
        <v>119</v>
      </c>
      <c r="L55" s="38">
        <v>0.5</v>
      </c>
      <c r="M55" s="60"/>
      <c r="N55" s="35" t="s">
        <v>119</v>
      </c>
      <c r="O55" s="38">
        <v>0.5</v>
      </c>
      <c r="P55" s="60"/>
      <c r="Q55" s="35" t="s">
        <v>119</v>
      </c>
      <c r="R55" s="38">
        <v>0.5</v>
      </c>
      <c r="S55" s="60"/>
      <c r="T55" s="35" t="s">
        <v>119</v>
      </c>
      <c r="U55" s="38">
        <v>0.5</v>
      </c>
      <c r="V55" s="60"/>
      <c r="W55" s="35" t="s">
        <v>119</v>
      </c>
      <c r="X55" s="38">
        <v>0.5</v>
      </c>
      <c r="Y55" s="60"/>
      <c r="Z55" s="35" t="s">
        <v>119</v>
      </c>
      <c r="AA55" s="38">
        <v>0.5</v>
      </c>
      <c r="AB55" s="60"/>
      <c r="AC55" s="35" t="s">
        <v>119</v>
      </c>
      <c r="AD55" s="38">
        <v>0.5</v>
      </c>
      <c r="AE55" s="60"/>
    </row>
    <row r="56" spans="2:31" x14ac:dyDescent="0.25">
      <c r="B56" s="72" t="s">
        <v>120</v>
      </c>
      <c r="C56" s="38">
        <v>0.58499999999999996</v>
      </c>
      <c r="D56" s="60"/>
      <c r="E56" s="35" t="s">
        <v>115</v>
      </c>
      <c r="F56" s="38">
        <v>0.2</v>
      </c>
      <c r="G56" s="60"/>
      <c r="H56" s="35" t="s">
        <v>115</v>
      </c>
      <c r="I56" s="38">
        <v>0.2</v>
      </c>
      <c r="J56" s="60"/>
      <c r="K56" s="35" t="s">
        <v>115</v>
      </c>
      <c r="L56" s="38">
        <v>0.2</v>
      </c>
      <c r="M56" s="60"/>
      <c r="N56" s="35" t="s">
        <v>115</v>
      </c>
      <c r="O56" s="38">
        <v>0.2</v>
      </c>
      <c r="P56" s="60"/>
      <c r="Q56" s="35" t="s">
        <v>115</v>
      </c>
      <c r="R56" s="38">
        <v>0.2</v>
      </c>
      <c r="S56" s="60"/>
      <c r="T56" s="35" t="s">
        <v>115</v>
      </c>
      <c r="U56" s="38">
        <v>0.2</v>
      </c>
      <c r="V56" s="60"/>
      <c r="W56" s="35" t="s">
        <v>115</v>
      </c>
      <c r="X56" s="38">
        <v>0.2</v>
      </c>
      <c r="Y56" s="60"/>
      <c r="Z56" s="35" t="s">
        <v>115</v>
      </c>
      <c r="AA56" s="38">
        <v>0.2</v>
      </c>
      <c r="AB56" s="60"/>
      <c r="AC56" s="35" t="s">
        <v>115</v>
      </c>
      <c r="AD56" s="38">
        <v>0.2</v>
      </c>
      <c r="AE56" s="60"/>
    </row>
    <row r="57" spans="2:31" x14ac:dyDescent="0.25">
      <c r="B57" s="35" t="s">
        <v>121</v>
      </c>
      <c r="C57" s="38">
        <v>0.3</v>
      </c>
      <c r="D57" s="60"/>
      <c r="E57" s="35" t="s">
        <v>181</v>
      </c>
      <c r="F57" s="38">
        <v>1.25</v>
      </c>
      <c r="G57" s="60"/>
      <c r="H57" s="35" t="s">
        <v>181</v>
      </c>
      <c r="I57" s="38">
        <v>1.25</v>
      </c>
      <c r="J57" s="60"/>
      <c r="K57" s="35" t="s">
        <v>181</v>
      </c>
      <c r="L57" s="38">
        <v>1.25</v>
      </c>
      <c r="M57" s="60"/>
      <c r="N57" s="35" t="s">
        <v>181</v>
      </c>
      <c r="O57" s="38">
        <v>1.25</v>
      </c>
      <c r="P57" s="60"/>
      <c r="Q57" s="35" t="s">
        <v>181</v>
      </c>
      <c r="R57" s="38">
        <v>1.25</v>
      </c>
      <c r="S57" s="60"/>
      <c r="T57" s="35" t="s">
        <v>181</v>
      </c>
      <c r="U57" s="38">
        <v>1.25</v>
      </c>
      <c r="V57" s="60"/>
      <c r="W57" s="35" t="s">
        <v>181</v>
      </c>
      <c r="X57" s="38">
        <v>1.25</v>
      </c>
      <c r="Y57" s="60"/>
      <c r="Z57" s="35" t="s">
        <v>181</v>
      </c>
      <c r="AA57" s="38">
        <v>1.25</v>
      </c>
      <c r="AB57" s="60"/>
      <c r="AC57" s="35" t="s">
        <v>181</v>
      </c>
      <c r="AD57" s="38">
        <v>1.25</v>
      </c>
      <c r="AE57" s="60"/>
    </row>
    <row r="58" spans="2:31" x14ac:dyDescent="0.25">
      <c r="B58" s="35" t="s">
        <v>181</v>
      </c>
      <c r="C58" s="38">
        <v>1.45</v>
      </c>
      <c r="D58" s="60"/>
      <c r="E58" s="35" t="s">
        <v>120</v>
      </c>
      <c r="F58" s="38">
        <v>0.36</v>
      </c>
      <c r="G58" s="60"/>
      <c r="H58" s="35" t="s">
        <v>120</v>
      </c>
      <c r="I58" s="38">
        <v>0.36</v>
      </c>
      <c r="J58" s="60"/>
      <c r="K58" s="35" t="s">
        <v>120</v>
      </c>
      <c r="L58" s="38">
        <v>0.36</v>
      </c>
      <c r="M58" s="60"/>
      <c r="N58" s="35" t="s">
        <v>120</v>
      </c>
      <c r="O58" s="38">
        <v>0.36</v>
      </c>
      <c r="P58" s="60"/>
      <c r="Q58" s="35" t="s">
        <v>120</v>
      </c>
      <c r="R58" s="38">
        <v>0.36</v>
      </c>
      <c r="S58" s="60"/>
      <c r="T58" s="35" t="s">
        <v>120</v>
      </c>
      <c r="U58" s="38">
        <v>0.36</v>
      </c>
      <c r="V58" s="60"/>
      <c r="W58" s="35" t="s">
        <v>120</v>
      </c>
      <c r="X58" s="38">
        <v>0.36</v>
      </c>
      <c r="Y58" s="60"/>
      <c r="Z58" s="35" t="s">
        <v>120</v>
      </c>
      <c r="AA58" s="38">
        <v>0.36</v>
      </c>
      <c r="AB58" s="60"/>
      <c r="AC58" s="35" t="s">
        <v>120</v>
      </c>
      <c r="AD58" s="38">
        <v>0.36</v>
      </c>
      <c r="AE58" s="60"/>
    </row>
    <row r="59" spans="2:31" x14ac:dyDescent="0.25">
      <c r="B59" s="35" t="s">
        <v>182</v>
      </c>
      <c r="C59" s="38">
        <v>0.4</v>
      </c>
      <c r="D59" s="60"/>
      <c r="E59" s="35" t="s">
        <v>182</v>
      </c>
      <c r="F59" s="38">
        <v>0.2</v>
      </c>
      <c r="G59" s="60"/>
      <c r="H59" s="35" t="s">
        <v>182</v>
      </c>
      <c r="I59" s="38">
        <v>0.2</v>
      </c>
      <c r="J59" s="60"/>
      <c r="K59" s="35" t="s">
        <v>182</v>
      </c>
      <c r="L59" s="38">
        <v>0.2</v>
      </c>
      <c r="M59" s="60"/>
      <c r="N59" s="35" t="s">
        <v>182</v>
      </c>
      <c r="O59" s="38">
        <v>0.2</v>
      </c>
      <c r="P59" s="60"/>
      <c r="Q59" s="35" t="s">
        <v>182</v>
      </c>
      <c r="R59" s="38">
        <v>0.2</v>
      </c>
      <c r="S59" s="60"/>
      <c r="T59" s="35" t="s">
        <v>182</v>
      </c>
      <c r="U59" s="38">
        <v>0.2</v>
      </c>
      <c r="V59" s="60"/>
      <c r="W59" s="35" t="s">
        <v>182</v>
      </c>
      <c r="X59" s="38">
        <v>0.2</v>
      </c>
      <c r="Y59" s="60"/>
      <c r="Z59" s="35" t="s">
        <v>182</v>
      </c>
      <c r="AA59" s="38">
        <v>0.2</v>
      </c>
      <c r="AB59" s="60"/>
      <c r="AC59" s="35" t="s">
        <v>182</v>
      </c>
      <c r="AD59" s="38">
        <v>0.2</v>
      </c>
      <c r="AE59" s="60"/>
    </row>
    <row r="60" spans="2:31" x14ac:dyDescent="0.25">
      <c r="B60" s="35" t="s">
        <v>179</v>
      </c>
      <c r="C60" s="38">
        <v>0.33500000000000002</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2:31" x14ac:dyDescent="0.25">
      <c r="B61" s="10" t="s">
        <v>183</v>
      </c>
      <c r="C61" s="58">
        <f>SUM(C47:C59)</f>
        <v>99.665000000000006</v>
      </c>
      <c r="D61" s="64" t="str">
        <f>IF(C61=100,"","warning")</f>
        <v>warning</v>
      </c>
      <c r="E61" s="10" t="s">
        <v>183</v>
      </c>
      <c r="F61" s="58">
        <f>SUM(F47:F59)</f>
        <v>99.999999999999986</v>
      </c>
      <c r="G61" s="64" t="str">
        <f>IF(F61=100,"","warning")</f>
        <v/>
      </c>
      <c r="H61" s="10" t="s">
        <v>183</v>
      </c>
      <c r="I61" s="58">
        <f>SUM(I47:I59)</f>
        <v>99.999999999999986</v>
      </c>
      <c r="J61" s="64" t="str">
        <f>IF(I61=100,"","warning")</f>
        <v/>
      </c>
      <c r="K61" s="10" t="s">
        <v>183</v>
      </c>
      <c r="L61" s="58">
        <f>SUM(L47:L59)</f>
        <v>99.999999999999986</v>
      </c>
      <c r="M61" s="64" t="str">
        <f>IF(L61=100,"","warning")</f>
        <v/>
      </c>
      <c r="N61" s="10" t="s">
        <v>183</v>
      </c>
      <c r="O61" s="58">
        <f>SUM(O47:O59)</f>
        <v>99.999999999999986</v>
      </c>
      <c r="P61" s="64" t="str">
        <f>IF(O61=100,"","warning")</f>
        <v/>
      </c>
      <c r="Q61" s="10" t="s">
        <v>183</v>
      </c>
      <c r="R61" s="58">
        <f>SUM(R47:R59)</f>
        <v>99.999999999999986</v>
      </c>
      <c r="S61" s="64" t="str">
        <f>IF(R61=100,"","warning")</f>
        <v/>
      </c>
      <c r="T61" s="10" t="s">
        <v>183</v>
      </c>
      <c r="U61" s="58">
        <f>SUM(U47:U59)</f>
        <v>99.999999999999986</v>
      </c>
      <c r="V61" s="64" t="str">
        <f>IF(U61=100,"","warning")</f>
        <v/>
      </c>
      <c r="W61" s="10" t="s">
        <v>183</v>
      </c>
      <c r="X61" s="58">
        <f>SUM(X47:X59)</f>
        <v>99.999999999999986</v>
      </c>
      <c r="Y61" s="64" t="str">
        <f>IF(X61=100,"","warning")</f>
        <v/>
      </c>
      <c r="Z61" s="10" t="s">
        <v>183</v>
      </c>
      <c r="AA61" s="58">
        <f>SUM(AA47:AA59)</f>
        <v>99.999999999999986</v>
      </c>
      <c r="AB61" s="64" t="str">
        <f>IF(AA61=100,"","warning")</f>
        <v/>
      </c>
      <c r="AC61" s="10" t="s">
        <v>183</v>
      </c>
      <c r="AD61" s="58">
        <f>SUM(AD47:AD59)</f>
        <v>99.999999999999986</v>
      </c>
      <c r="AE61" s="64" t="str">
        <f>IF(AD61=100,"","warning")</f>
        <v/>
      </c>
    </row>
    <row r="62" spans="2:31" x14ac:dyDescent="0.25">
      <c r="B62" s="9"/>
      <c r="C62" s="14"/>
      <c r="D62" s="14"/>
      <c r="E62" s="9"/>
      <c r="F62" s="14"/>
      <c r="G62" s="14"/>
      <c r="H62" s="9"/>
      <c r="I62" s="14"/>
      <c r="J62" s="14"/>
      <c r="K62" s="9"/>
      <c r="L62" s="14"/>
      <c r="M62" s="14"/>
      <c r="N62" s="9"/>
      <c r="O62" s="14"/>
      <c r="P62" s="14"/>
      <c r="Q62" s="9"/>
      <c r="R62" s="14"/>
      <c r="S62" s="14"/>
      <c r="T62" s="9"/>
      <c r="U62" s="14"/>
      <c r="V62" s="14"/>
      <c r="W62" s="9"/>
      <c r="X62" s="14"/>
      <c r="Y62" s="14"/>
      <c r="Z62" s="9"/>
      <c r="AA62" s="14"/>
      <c r="AB62" s="14"/>
      <c r="AC62" s="9"/>
      <c r="AD62" s="14"/>
      <c r="AE62" s="14"/>
    </row>
    <row r="63" spans="2:31" x14ac:dyDescent="0.25">
      <c r="B63" s="24" t="s">
        <v>184</v>
      </c>
      <c r="C63" s="21"/>
      <c r="D63" s="62"/>
      <c r="E63" s="24" t="s">
        <v>184</v>
      </c>
      <c r="F63" s="21"/>
      <c r="G63" s="62"/>
      <c r="H63" s="24" t="s">
        <v>184</v>
      </c>
      <c r="I63" s="21"/>
      <c r="J63" s="62"/>
      <c r="K63" s="24" t="s">
        <v>184</v>
      </c>
      <c r="L63" s="21"/>
      <c r="M63" s="62"/>
      <c r="N63" s="24" t="s">
        <v>184</v>
      </c>
      <c r="O63" s="21"/>
      <c r="P63" s="62"/>
      <c r="Q63" s="24" t="s">
        <v>184</v>
      </c>
      <c r="R63" s="21"/>
      <c r="S63" s="62"/>
      <c r="T63" s="24" t="s">
        <v>184</v>
      </c>
      <c r="U63" s="21"/>
      <c r="V63" s="62"/>
      <c r="W63" s="24" t="s">
        <v>184</v>
      </c>
      <c r="X63" s="21"/>
      <c r="Y63" s="62"/>
      <c r="Z63" s="24" t="s">
        <v>184</v>
      </c>
      <c r="AA63" s="21"/>
      <c r="AB63" s="62"/>
      <c r="AC63" s="24" t="s">
        <v>184</v>
      </c>
      <c r="AD63" s="21"/>
      <c r="AE63" s="62"/>
    </row>
    <row r="64" spans="2:31" x14ac:dyDescent="0.25">
      <c r="B64" s="27" t="s">
        <v>185</v>
      </c>
      <c r="C64" s="36" t="str">
        <f>IF(ISBLANK(D64), "none", D64)</f>
        <v>none</v>
      </c>
      <c r="D64" s="60" t="s">
        <v>186</v>
      </c>
      <c r="E64" s="27" t="s">
        <v>185</v>
      </c>
      <c r="F64" s="36" t="str">
        <f>IF(ISBLANK(G64), "none", G64)</f>
        <v>none</v>
      </c>
      <c r="G64" s="60" t="s">
        <v>186</v>
      </c>
      <c r="H64" s="27" t="s">
        <v>185</v>
      </c>
      <c r="I64" s="36" t="str">
        <f>IF(ISBLANK(J64), "none", J64)</f>
        <v>none</v>
      </c>
      <c r="J64" s="60" t="s">
        <v>186</v>
      </c>
      <c r="K64" s="27" t="s">
        <v>185</v>
      </c>
      <c r="L64" s="36" t="str">
        <f>IF(ISBLANK(M64), "none", M64)</f>
        <v>none</v>
      </c>
      <c r="M64" s="60" t="s">
        <v>186</v>
      </c>
      <c r="N64" s="27" t="s">
        <v>185</v>
      </c>
      <c r="O64" s="36" t="str">
        <f>IF(ISBLANK(P64), "none", P64)</f>
        <v>none</v>
      </c>
      <c r="P64" s="60" t="s">
        <v>186</v>
      </c>
      <c r="Q64" s="27" t="s">
        <v>185</v>
      </c>
      <c r="R64" s="36" t="str">
        <f>IF(ISBLANK(S64), "none", S64)</f>
        <v>none</v>
      </c>
      <c r="S64" s="60" t="s">
        <v>186</v>
      </c>
      <c r="T64" s="27" t="s">
        <v>185</v>
      </c>
      <c r="U64" s="36" t="str">
        <f>IF(ISBLANK(V64), "none", V64)</f>
        <v>none</v>
      </c>
      <c r="V64" s="60" t="s">
        <v>186</v>
      </c>
      <c r="W64" s="27" t="s">
        <v>185</v>
      </c>
      <c r="X64" s="36" t="str">
        <f>IF(ISBLANK(Y64), "none", Y64)</f>
        <v>none</v>
      </c>
      <c r="Y64" s="60" t="s">
        <v>186</v>
      </c>
      <c r="Z64" s="27" t="s">
        <v>185</v>
      </c>
      <c r="AA64" s="36" t="str">
        <f>IF(ISBLANK(AB64), "none", AB64)</f>
        <v>none</v>
      </c>
      <c r="AB64" s="60" t="s">
        <v>186</v>
      </c>
      <c r="AC64" s="27" t="s">
        <v>185</v>
      </c>
      <c r="AD64" s="36" t="str">
        <f>IF(ISBLANK(AE64), "none", AE64)</f>
        <v>none</v>
      </c>
      <c r="AE64" s="60" t="s">
        <v>186</v>
      </c>
    </row>
    <row r="65" spans="2:31" ht="17.25" x14ac:dyDescent="0.25">
      <c r="B65" s="27" t="s">
        <v>136</v>
      </c>
      <c r="C65" s="21">
        <f>IF(COUNT(D65)=1,D65,6)</f>
        <v>6</v>
      </c>
      <c r="D65" s="60"/>
      <c r="E65" s="27" t="s">
        <v>136</v>
      </c>
      <c r="F65" s="21">
        <f>IF(COUNT(G65)=1,G65,6)</f>
        <v>6</v>
      </c>
      <c r="G65" s="60"/>
      <c r="H65" s="27" t="s">
        <v>136</v>
      </c>
      <c r="I65" s="21">
        <f>IF(COUNT(J65)=1,J65,6)</f>
        <v>6</v>
      </c>
      <c r="J65" s="60"/>
      <c r="K65" s="27" t="s">
        <v>136</v>
      </c>
      <c r="L65" s="21">
        <f>IF(COUNT(M65)=1,M65,6)</f>
        <v>6</v>
      </c>
      <c r="M65" s="60"/>
      <c r="N65" s="27" t="s">
        <v>136</v>
      </c>
      <c r="O65" s="21">
        <f>IF(COUNT(P65)=1,P65,6)</f>
        <v>6</v>
      </c>
      <c r="P65" s="60"/>
      <c r="Q65" s="27" t="s">
        <v>136</v>
      </c>
      <c r="R65" s="21">
        <f>IF(COUNT(S65)=1,S65,6)</f>
        <v>6</v>
      </c>
      <c r="S65" s="60"/>
      <c r="T65" s="27" t="s">
        <v>136</v>
      </c>
      <c r="U65" s="21">
        <f>IF(COUNT(V65)=1,V65,6)</f>
        <v>6</v>
      </c>
      <c r="V65" s="60"/>
      <c r="W65" s="27" t="s">
        <v>136</v>
      </c>
      <c r="X65" s="21">
        <f>IF(COUNT(Y65)=1,Y65,6)</f>
        <v>6</v>
      </c>
      <c r="Y65" s="60"/>
      <c r="Z65" s="27" t="s">
        <v>136</v>
      </c>
      <c r="AA65" s="21">
        <f>IF(COUNT(AB65)=1,AB65,6)</f>
        <v>6</v>
      </c>
      <c r="AB65" s="60"/>
      <c r="AC65" s="27" t="s">
        <v>136</v>
      </c>
      <c r="AD65" s="21">
        <f>IF(COUNT(AE65)=1,AE65,6)</f>
        <v>6</v>
      </c>
      <c r="AE65" s="60"/>
    </row>
    <row r="66" spans="2:31" x14ac:dyDescent="0.25">
      <c r="B66" s="27" t="s">
        <v>187</v>
      </c>
      <c r="C66" s="36" t="str">
        <f>IF(ISBLANK(D66), "none", D66)</f>
        <v>none</v>
      </c>
      <c r="D66" s="60" t="s">
        <v>186</v>
      </c>
      <c r="E66" s="27" t="s">
        <v>187</v>
      </c>
      <c r="F66" s="36" t="str">
        <f>IF(ISBLANK(G66), "none", G66)</f>
        <v>none</v>
      </c>
      <c r="G66" s="60" t="s">
        <v>186</v>
      </c>
      <c r="H66" s="27" t="s">
        <v>187</v>
      </c>
      <c r="I66" s="36" t="str">
        <f>IF(ISBLANK(J66), "none", J66)</f>
        <v>none</v>
      </c>
      <c r="J66" s="60" t="s">
        <v>186</v>
      </c>
      <c r="K66" s="27" t="s">
        <v>187</v>
      </c>
      <c r="L66" s="36" t="str">
        <f>IF(ISBLANK(M66), "none", M66)</f>
        <v>none</v>
      </c>
      <c r="M66" s="60" t="s">
        <v>186</v>
      </c>
      <c r="N66" s="27" t="s">
        <v>187</v>
      </c>
      <c r="O66" s="36" t="str">
        <f>IF(ISBLANK(P66), "none", P66)</f>
        <v>none</v>
      </c>
      <c r="P66" s="60" t="s">
        <v>186</v>
      </c>
      <c r="Q66" s="27" t="s">
        <v>187</v>
      </c>
      <c r="R66" s="36" t="str">
        <f>IF(ISBLANK(S66), "none", S66)</f>
        <v>none</v>
      </c>
      <c r="S66" s="60" t="s">
        <v>186</v>
      </c>
      <c r="T66" s="27" t="s">
        <v>187</v>
      </c>
      <c r="U66" s="36" t="str">
        <f>IF(ISBLANK(V66), "none", V66)</f>
        <v>none</v>
      </c>
      <c r="V66" s="60" t="s">
        <v>186</v>
      </c>
      <c r="W66" s="27" t="s">
        <v>187</v>
      </c>
      <c r="X66" s="36" t="str">
        <f>IF(ISBLANK(Y66), "none", Y66)</f>
        <v>none</v>
      </c>
      <c r="Y66" s="60" t="s">
        <v>186</v>
      </c>
      <c r="Z66" s="27" t="s">
        <v>187</v>
      </c>
      <c r="AA66" s="36" t="str">
        <f>IF(ISBLANK(AB66), "none", AB66)</f>
        <v>none</v>
      </c>
      <c r="AB66" s="60" t="s">
        <v>186</v>
      </c>
      <c r="AC66" s="27" t="s">
        <v>187</v>
      </c>
      <c r="AD66" s="36" t="str">
        <f>IF(ISBLANK(AE66), "none", AE66)</f>
        <v>none</v>
      </c>
      <c r="AE66" s="60" t="s">
        <v>186</v>
      </c>
    </row>
    <row r="67" spans="2:31" x14ac:dyDescent="0.25">
      <c r="B67" s="27" t="s">
        <v>188</v>
      </c>
      <c r="C67" s="21">
        <f>IF(COUNT(D67)=1,D67,45)</f>
        <v>45</v>
      </c>
      <c r="D67" s="60"/>
      <c r="E67" s="27" t="s">
        <v>188</v>
      </c>
      <c r="F67" s="21">
        <f>IF(COUNT(G67)=1,G67,45)</f>
        <v>45</v>
      </c>
      <c r="G67" s="60"/>
      <c r="H67" s="27" t="s">
        <v>188</v>
      </c>
      <c r="I67" s="21">
        <f>IF(COUNT(J67)=1,J67,45)</f>
        <v>45</v>
      </c>
      <c r="J67" s="60"/>
      <c r="K67" s="27" t="s">
        <v>188</v>
      </c>
      <c r="L67" s="21">
        <f>IF(COUNT(M67)=1,M67,45)</f>
        <v>45</v>
      </c>
      <c r="M67" s="60"/>
      <c r="N67" s="27" t="s">
        <v>188</v>
      </c>
      <c r="O67" s="21">
        <f>IF(COUNT(P67)=1,P67,45)</f>
        <v>45</v>
      </c>
      <c r="P67" s="60"/>
      <c r="Q67" s="27" t="s">
        <v>188</v>
      </c>
      <c r="R67" s="21">
        <f>IF(COUNT(S67)=1,S67,45)</f>
        <v>45</v>
      </c>
      <c r="S67" s="60"/>
      <c r="T67" s="27" t="s">
        <v>188</v>
      </c>
      <c r="U67" s="21">
        <f>IF(COUNT(V67)=1,V67,45)</f>
        <v>45</v>
      </c>
      <c r="V67" s="60"/>
      <c r="W67" s="27" t="s">
        <v>188</v>
      </c>
      <c r="X67" s="21">
        <f>IF(COUNT(Y67)=1,Y67,45)</f>
        <v>45</v>
      </c>
      <c r="Y67" s="60"/>
      <c r="Z67" s="27" t="s">
        <v>188</v>
      </c>
      <c r="AA67" s="21">
        <f>IF(COUNT(AB67)=1,AB67,45)</f>
        <v>45</v>
      </c>
      <c r="AB67" s="60"/>
      <c r="AC67" s="27" t="s">
        <v>188</v>
      </c>
      <c r="AD67" s="21">
        <f>IF(COUNT(AE67)=1,AE67,45)</f>
        <v>45</v>
      </c>
      <c r="AE67" s="60"/>
    </row>
    <row r="68" spans="2:31" x14ac:dyDescent="0.25">
      <c r="B68" s="27" t="s">
        <v>189</v>
      </c>
      <c r="C68" s="36" t="str">
        <f>IF(ISBLANK(D68), "none", D68)</f>
        <v>none</v>
      </c>
      <c r="D68" s="60" t="s">
        <v>186</v>
      </c>
      <c r="E68" s="27" t="s">
        <v>189</v>
      </c>
      <c r="F68" s="36" t="str">
        <f>IF(ISBLANK(G68), "none", G68)</f>
        <v>none</v>
      </c>
      <c r="G68" s="60" t="s">
        <v>186</v>
      </c>
      <c r="H68" s="27" t="s">
        <v>189</v>
      </c>
      <c r="I68" s="36" t="str">
        <f>IF(ISBLANK(J68), "none", J68)</f>
        <v>none</v>
      </c>
      <c r="J68" s="60" t="s">
        <v>186</v>
      </c>
      <c r="K68" s="27" t="s">
        <v>189</v>
      </c>
      <c r="L68" s="36" t="str">
        <f>IF(ISBLANK(M68), "none", M68)</f>
        <v>none</v>
      </c>
      <c r="M68" s="60" t="s">
        <v>186</v>
      </c>
      <c r="N68" s="27" t="s">
        <v>189</v>
      </c>
      <c r="O68" s="36" t="str">
        <f>IF(ISBLANK(P68), "none", P68)</f>
        <v>none</v>
      </c>
      <c r="P68" s="60" t="s">
        <v>186</v>
      </c>
      <c r="Q68" s="27" t="s">
        <v>189</v>
      </c>
      <c r="R68" s="36" t="str">
        <f>IF(ISBLANK(S68), "none", S68)</f>
        <v>none</v>
      </c>
      <c r="S68" s="60" t="s">
        <v>186</v>
      </c>
      <c r="T68" s="27" t="s">
        <v>189</v>
      </c>
      <c r="U68" s="36" t="str">
        <f>IF(ISBLANK(V68), "none", V68)</f>
        <v>none</v>
      </c>
      <c r="V68" s="60" t="s">
        <v>186</v>
      </c>
      <c r="W68" s="27" t="s">
        <v>189</v>
      </c>
      <c r="X68" s="36" t="str">
        <f>IF(ISBLANK(Y68), "none", Y68)</f>
        <v>none</v>
      </c>
      <c r="Y68" s="60" t="s">
        <v>186</v>
      </c>
      <c r="Z68" s="27" t="s">
        <v>189</v>
      </c>
      <c r="AA68" s="36" t="str">
        <f>IF(ISBLANK(AB68), "none", AB68)</f>
        <v>none</v>
      </c>
      <c r="AB68" s="60" t="s">
        <v>186</v>
      </c>
      <c r="AC68" s="27" t="s">
        <v>189</v>
      </c>
      <c r="AD68" s="36" t="str">
        <f>IF(ISBLANK(AE68), "none", AE68)</f>
        <v>none</v>
      </c>
      <c r="AE68" s="60" t="s">
        <v>186</v>
      </c>
    </row>
    <row r="69" spans="2:31" ht="17.25" x14ac:dyDescent="0.25">
      <c r="B69" s="27" t="s">
        <v>190</v>
      </c>
      <c r="C69" s="22">
        <f>IF(COUNT(D69)=1,D69,20)</f>
        <v>20</v>
      </c>
      <c r="D69" s="60"/>
      <c r="E69" s="27" t="s">
        <v>190</v>
      </c>
      <c r="F69" s="22">
        <f>IF(COUNT(G69)=1,G69,20)</f>
        <v>20</v>
      </c>
      <c r="G69" s="60"/>
      <c r="H69" s="27" t="s">
        <v>190</v>
      </c>
      <c r="I69" s="22">
        <f>IF(COUNT(J69)=1,J69,20)</f>
        <v>20</v>
      </c>
      <c r="J69" s="60"/>
      <c r="K69" s="27" t="s">
        <v>190</v>
      </c>
      <c r="L69" s="22">
        <f>IF(COUNT(M69)=1,M69,20)</f>
        <v>20</v>
      </c>
      <c r="M69" s="60"/>
      <c r="N69" s="27" t="s">
        <v>190</v>
      </c>
      <c r="O69" s="22">
        <f>IF(COUNT(P69)=1,P69,20)</f>
        <v>20</v>
      </c>
      <c r="P69" s="60"/>
      <c r="Q69" s="27" t="s">
        <v>190</v>
      </c>
      <c r="R69" s="22">
        <f>IF(COUNT(S69)=1,S69,20)</f>
        <v>20</v>
      </c>
      <c r="S69" s="60"/>
      <c r="T69" s="27" t="s">
        <v>190</v>
      </c>
      <c r="U69" s="22">
        <f>IF(COUNT(V69)=1,V69,20)</f>
        <v>20</v>
      </c>
      <c r="V69" s="60"/>
      <c r="W69" s="27" t="s">
        <v>190</v>
      </c>
      <c r="X69" s="22">
        <f>IF(COUNT(Y69)=1,Y69,20)</f>
        <v>20</v>
      </c>
      <c r="Y69" s="60"/>
      <c r="Z69" s="27" t="s">
        <v>190</v>
      </c>
      <c r="AA69" s="22">
        <f>IF(COUNT(AB69)=1,AB69,20)</f>
        <v>20</v>
      </c>
      <c r="AB69" s="60"/>
      <c r="AC69" s="27" t="s">
        <v>190</v>
      </c>
      <c r="AD69" s="22">
        <f>IF(COUNT(AE69)=1,AE69,20)</f>
        <v>20</v>
      </c>
      <c r="AE69" s="60"/>
    </row>
    <row r="70" spans="2:31" ht="17.25" x14ac:dyDescent="0.25">
      <c r="B70" s="27" t="s">
        <v>191</v>
      </c>
      <c r="C70" s="22">
        <f>IF(COUNT(D70)=1,D70,365)</f>
        <v>365</v>
      </c>
      <c r="D70" s="63"/>
      <c r="E70" s="27" t="s">
        <v>191</v>
      </c>
      <c r="F70" s="22">
        <f>IF(COUNT(G70)=1,G70,365)</f>
        <v>365</v>
      </c>
      <c r="G70" s="63"/>
      <c r="H70" s="27" t="s">
        <v>191</v>
      </c>
      <c r="I70" s="22">
        <f>IF(COUNT(J70)=1,J70,365)</f>
        <v>365</v>
      </c>
      <c r="J70" s="63"/>
      <c r="K70" s="27" t="s">
        <v>191</v>
      </c>
      <c r="L70" s="22">
        <f>IF(COUNT(M70)=1,M70,365)</f>
        <v>365</v>
      </c>
      <c r="M70" s="63"/>
      <c r="N70" s="27" t="s">
        <v>191</v>
      </c>
      <c r="O70" s="22">
        <f>IF(COUNT(P70)=1,P70,365)</f>
        <v>365</v>
      </c>
      <c r="P70" s="63"/>
      <c r="Q70" s="27" t="s">
        <v>191</v>
      </c>
      <c r="R70" s="22">
        <f>IF(COUNT(S70)=1,S70,365)</f>
        <v>365</v>
      </c>
      <c r="S70" s="63"/>
      <c r="T70" s="27" t="s">
        <v>191</v>
      </c>
      <c r="U70" s="22">
        <f>IF(COUNT(V70)=1,V70,365)</f>
        <v>365</v>
      </c>
      <c r="V70" s="63"/>
      <c r="W70" s="27" t="s">
        <v>191</v>
      </c>
      <c r="X70" s="22">
        <f>IF(COUNT(Y70)=1,Y70,365)</f>
        <v>365</v>
      </c>
      <c r="Y70" s="63"/>
      <c r="Z70" s="27" t="s">
        <v>191</v>
      </c>
      <c r="AA70" s="22">
        <f>IF(COUNT(AB70)=1,AB70,365)</f>
        <v>365</v>
      </c>
      <c r="AB70" s="63"/>
      <c r="AC70" s="27" t="s">
        <v>191</v>
      </c>
      <c r="AD70" s="22">
        <f>IF(COUNT(AE70)=1,AE70,365)</f>
        <v>365</v>
      </c>
      <c r="AE70" s="63"/>
    </row>
    <row r="71" spans="2:31" x14ac:dyDescent="0.25">
      <c r="B71" s="27" t="s">
        <v>192</v>
      </c>
      <c r="C71" s="36" t="str">
        <f>IF(ISBLANK(D71), "none", D71)</f>
        <v>none</v>
      </c>
      <c r="D71" s="60" t="s">
        <v>186</v>
      </c>
      <c r="E71" s="27" t="s">
        <v>192</v>
      </c>
      <c r="F71" s="36" t="str">
        <f>IF(ISBLANK(G71), "none", G71)</f>
        <v>none</v>
      </c>
      <c r="G71" s="60" t="s">
        <v>186</v>
      </c>
      <c r="H71" s="27" t="s">
        <v>192</v>
      </c>
      <c r="I71" s="36" t="str">
        <f>IF(ISBLANK(J71), "none", J71)</f>
        <v>none</v>
      </c>
      <c r="J71" s="60" t="s">
        <v>186</v>
      </c>
      <c r="K71" s="27" t="s">
        <v>192</v>
      </c>
      <c r="L71" s="36" t="str">
        <f>IF(ISBLANK(M71), "none", M71)</f>
        <v>none</v>
      </c>
      <c r="M71" s="60" t="s">
        <v>186</v>
      </c>
      <c r="N71" s="27" t="s">
        <v>192</v>
      </c>
      <c r="O71" s="36" t="str">
        <f>IF(ISBLANK(P71), "none", P71)</f>
        <v>none</v>
      </c>
      <c r="P71" s="60" t="s">
        <v>186</v>
      </c>
      <c r="Q71" s="27" t="s">
        <v>192</v>
      </c>
      <c r="R71" s="36" t="str">
        <f>IF(ISBLANK(S71), "none", S71)</f>
        <v>none</v>
      </c>
      <c r="S71" s="60" t="s">
        <v>186</v>
      </c>
      <c r="T71" s="27" t="s">
        <v>192</v>
      </c>
      <c r="U71" s="36" t="str">
        <f>IF(ISBLANK(V71), "none", V71)</f>
        <v>none</v>
      </c>
      <c r="V71" s="60" t="s">
        <v>186</v>
      </c>
      <c r="W71" s="27" t="s">
        <v>192</v>
      </c>
      <c r="X71" s="36" t="str">
        <f>IF(ISBLANK(Y71), "none", Y71)</f>
        <v>none</v>
      </c>
      <c r="Y71" s="60" t="s">
        <v>186</v>
      </c>
      <c r="Z71" s="27" t="s">
        <v>192</v>
      </c>
      <c r="AA71" s="36" t="str">
        <f>IF(ISBLANK(AB71), "none", AB71)</f>
        <v>none</v>
      </c>
      <c r="AB71" s="60" t="s">
        <v>186</v>
      </c>
      <c r="AC71" s="27" t="s">
        <v>192</v>
      </c>
      <c r="AD71" s="36" t="str">
        <f>IF(ISBLANK(AE71), "none", AE71)</f>
        <v>none</v>
      </c>
      <c r="AE71" s="60" t="s">
        <v>186</v>
      </c>
    </row>
    <row r="72" spans="2:31" x14ac:dyDescent="0.25">
      <c r="B72" s="12" t="s">
        <v>193</v>
      </c>
      <c r="C72" s="33">
        <v>0</v>
      </c>
      <c r="D72" s="60"/>
      <c r="E72" s="12" t="s">
        <v>193</v>
      </c>
      <c r="F72" s="33">
        <v>0</v>
      </c>
      <c r="G72" s="60"/>
      <c r="H72" s="12" t="s">
        <v>193</v>
      </c>
      <c r="I72" s="33">
        <v>0</v>
      </c>
      <c r="J72" s="60"/>
      <c r="K72" s="12" t="s">
        <v>193</v>
      </c>
      <c r="L72" s="33">
        <v>0</v>
      </c>
      <c r="M72" s="60"/>
      <c r="N72" s="12" t="s">
        <v>193</v>
      </c>
      <c r="O72" s="33">
        <v>0</v>
      </c>
      <c r="P72" s="60"/>
      <c r="Q72" s="12" t="s">
        <v>193</v>
      </c>
      <c r="R72" s="33">
        <v>0</v>
      </c>
      <c r="S72" s="60"/>
      <c r="T72" s="12" t="s">
        <v>193</v>
      </c>
      <c r="U72" s="33">
        <v>0</v>
      </c>
      <c r="V72" s="60"/>
      <c r="W72" s="12" t="s">
        <v>193</v>
      </c>
      <c r="X72" s="33">
        <v>0</v>
      </c>
      <c r="Y72" s="60"/>
      <c r="Z72" s="12" t="s">
        <v>193</v>
      </c>
      <c r="AA72" s="33">
        <v>0</v>
      </c>
      <c r="AB72" s="60"/>
      <c r="AC72" s="12" t="s">
        <v>193</v>
      </c>
      <c r="AD72" s="33">
        <v>0</v>
      </c>
      <c r="AE72" s="60"/>
    </row>
    <row r="73" spans="2:31" x14ac:dyDescent="0.25">
      <c r="B73" s="12" t="s">
        <v>194</v>
      </c>
      <c r="C73" s="33">
        <f>1-C72</f>
        <v>1</v>
      </c>
      <c r="D73" s="60"/>
      <c r="E73" s="12" t="s">
        <v>194</v>
      </c>
      <c r="F73" s="33">
        <f>1-F72</f>
        <v>1</v>
      </c>
      <c r="G73" s="60"/>
      <c r="H73" s="12" t="s">
        <v>194</v>
      </c>
      <c r="I73" s="33">
        <f>1-I72</f>
        <v>1</v>
      </c>
      <c r="J73" s="60"/>
      <c r="K73" s="12" t="s">
        <v>194</v>
      </c>
      <c r="L73" s="33">
        <f>1-L72</f>
        <v>1</v>
      </c>
      <c r="M73" s="60"/>
      <c r="N73" s="12" t="s">
        <v>194</v>
      </c>
      <c r="O73" s="33">
        <f>1-O72</f>
        <v>1</v>
      </c>
      <c r="P73" s="60"/>
      <c r="Q73" s="12" t="s">
        <v>194</v>
      </c>
      <c r="R73" s="33">
        <f>1-R72</f>
        <v>1</v>
      </c>
      <c r="S73" s="60"/>
      <c r="T73" s="12" t="s">
        <v>194</v>
      </c>
      <c r="U73" s="33">
        <f>1-U72</f>
        <v>1</v>
      </c>
      <c r="V73" s="60"/>
      <c r="W73" s="12" t="s">
        <v>194</v>
      </c>
      <c r="X73" s="33">
        <f>1-X72</f>
        <v>1</v>
      </c>
      <c r="Y73" s="60"/>
      <c r="Z73" s="12" t="s">
        <v>194</v>
      </c>
      <c r="AA73" s="33">
        <f>1-AA72</f>
        <v>1</v>
      </c>
      <c r="AB73" s="60"/>
      <c r="AC73" s="12" t="s">
        <v>194</v>
      </c>
      <c r="AD73" s="33">
        <f>1-AD72</f>
        <v>1</v>
      </c>
      <c r="AE73" s="60"/>
    </row>
    <row r="74" spans="2:31" x14ac:dyDescent="0.25">
      <c r="B74" s="12" t="s">
        <v>135</v>
      </c>
      <c r="C74" s="22">
        <f>IF(COUNT(D74)=1,D74,HLOOKUP('in-barn'!C9,defaults!$A$127:$D$128,MATCH('in-barn'!B74,defaults!$A$127:$A$128,0),FALSE))</f>
        <v>65</v>
      </c>
      <c r="D74" s="61"/>
      <c r="E74" s="12" t="s">
        <v>135</v>
      </c>
      <c r="F74" s="22">
        <f>IF(COUNT(G74)=1,G74,HLOOKUP('in-barn'!F9,defaults!$A$127:$D$128,MATCH('in-barn'!E74,defaults!$A$127:$A$128,0),FALSE))</f>
        <v>65</v>
      </c>
      <c r="G74" s="61"/>
      <c r="H74" s="12" t="s">
        <v>135</v>
      </c>
      <c r="I74" s="22">
        <f>IF(COUNT(J74)=1,J74,HLOOKUP('in-barn'!I9,defaults!$A$127:$D$128,MATCH('in-barn'!H74,defaults!$A$127:$A$128,0),FALSE))</f>
        <v>65</v>
      </c>
      <c r="J74" s="61"/>
      <c r="K74" s="12" t="s">
        <v>135</v>
      </c>
      <c r="L74" s="22">
        <f>IF(COUNT(M74)=1,M74,HLOOKUP('in-barn'!L9,defaults!$A$127:$D$128,MATCH('in-barn'!K74,defaults!$A$127:$A$128,0),FALSE))</f>
        <v>65</v>
      </c>
      <c r="M74" s="61"/>
      <c r="N74" s="12" t="s">
        <v>135</v>
      </c>
      <c r="O74" s="22">
        <f>IF(COUNT(P74)=1,P74,HLOOKUP('in-barn'!O9,defaults!$A$127:$D$128,MATCH('in-barn'!N74,defaults!$A$127:$A$128,0),FALSE))</f>
        <v>65</v>
      </c>
      <c r="P74" s="61"/>
      <c r="Q74" s="12" t="s">
        <v>135</v>
      </c>
      <c r="R74" s="22">
        <f>IF(COUNT(S74)=1,S74,HLOOKUP('in-barn'!R9,defaults!$A$127:$D$128,MATCH('in-barn'!Q74,defaults!$A$127:$A$128,0),FALSE))</f>
        <v>65</v>
      </c>
      <c r="S74" s="61"/>
      <c r="T74" s="12" t="s">
        <v>135</v>
      </c>
      <c r="U74" s="22">
        <f>IF(COUNT(V74)=1,V74,HLOOKUP('in-barn'!U9,defaults!$A$127:$D$128,MATCH('in-barn'!T74,defaults!$A$127:$A$128,0),FALSE))</f>
        <v>65</v>
      </c>
      <c r="V74" s="61"/>
      <c r="W74" s="12" t="s">
        <v>135</v>
      </c>
      <c r="X74" s="22">
        <f>IF(COUNT(Y74)=1,Y74,HLOOKUP('in-barn'!X9,defaults!$A$127:$D$128,MATCH('in-barn'!W74,defaults!$A$127:$A$128,0),FALSE))</f>
        <v>65</v>
      </c>
      <c r="Y74" s="61"/>
      <c r="Z74" s="12" t="s">
        <v>135</v>
      </c>
      <c r="AA74" s="22">
        <f>IF(COUNT(AB74)=1,AB74,HLOOKUP('in-barn'!AA9,defaults!$A$127:$D$128,MATCH('in-barn'!Z74,defaults!$A$127:$A$128,0),FALSE))</f>
        <v>65</v>
      </c>
      <c r="AB74" s="61"/>
      <c r="AC74" s="12" t="s">
        <v>135</v>
      </c>
      <c r="AD74" s="22">
        <f>IF(COUNT(AE74)=1,AE74,HLOOKUP('in-barn'!AD9,defaults!$A$127:$D$128,MATCH('in-barn'!AC74,defaults!$A$127:$A$128,0),FALSE))</f>
        <v>65</v>
      </c>
      <c r="AE74" s="61"/>
    </row>
    <row r="75" spans="2:31" x14ac:dyDescent="0.25">
      <c r="B75" s="13"/>
      <c r="C75" s="28"/>
      <c r="D75" s="28"/>
      <c r="E75" s="13"/>
      <c r="F75" s="28"/>
      <c r="G75" s="28"/>
      <c r="H75" s="13"/>
      <c r="I75" s="28"/>
      <c r="J75" s="28"/>
      <c r="K75" s="13"/>
      <c r="L75" s="28"/>
      <c r="M75" s="28"/>
      <c r="N75" s="13"/>
      <c r="O75" s="28"/>
      <c r="P75" s="28"/>
      <c r="Q75" s="13"/>
      <c r="R75" s="28"/>
      <c r="S75" s="28"/>
      <c r="T75" s="13"/>
      <c r="U75" s="28"/>
      <c r="V75" s="28"/>
      <c r="W75" s="13"/>
      <c r="X75" s="28"/>
      <c r="Y75" s="28"/>
      <c r="Z75" s="13"/>
      <c r="AA75" s="28"/>
      <c r="AB75" s="28"/>
      <c r="AC75" s="13"/>
      <c r="AD75" s="28"/>
      <c r="AE75" s="28"/>
    </row>
    <row r="76" spans="2:31" x14ac:dyDescent="0.25">
      <c r="B76" s="26" t="s">
        <v>195</v>
      </c>
      <c r="C76" s="22"/>
      <c r="D76" s="59"/>
      <c r="E76" s="26" t="s">
        <v>195</v>
      </c>
      <c r="F76" s="22"/>
      <c r="G76" s="59"/>
      <c r="H76" s="26" t="s">
        <v>195</v>
      </c>
      <c r="I76" s="22"/>
      <c r="J76" s="59"/>
      <c r="K76" s="26" t="s">
        <v>195</v>
      </c>
      <c r="L76" s="22"/>
      <c r="M76" s="59"/>
      <c r="N76" s="26" t="s">
        <v>195</v>
      </c>
      <c r="O76" s="22"/>
      <c r="P76" s="59"/>
      <c r="Q76" s="26" t="s">
        <v>195</v>
      </c>
      <c r="R76" s="22"/>
      <c r="S76" s="59"/>
      <c r="T76" s="26" t="s">
        <v>195</v>
      </c>
      <c r="U76" s="22"/>
      <c r="V76" s="59"/>
      <c r="W76" s="26" t="s">
        <v>195</v>
      </c>
      <c r="X76" s="22"/>
      <c r="Y76" s="59"/>
      <c r="Z76" s="26" t="s">
        <v>195</v>
      </c>
      <c r="AA76" s="22"/>
      <c r="AB76" s="59"/>
      <c r="AC76" s="26" t="s">
        <v>195</v>
      </c>
      <c r="AD76" s="22"/>
      <c r="AE76" s="59"/>
    </row>
    <row r="77" spans="2:31" x14ac:dyDescent="0.25">
      <c r="B77" s="12" t="s">
        <v>196</v>
      </c>
      <c r="C77" s="25">
        <f>IF(COUNT(D77)=1,D77,_xlfn.CEILING.MATH(COLUMNS($B61:C61)/3))</f>
        <v>1</v>
      </c>
      <c r="D77" s="60"/>
      <c r="E77" s="12" t="s">
        <v>196</v>
      </c>
      <c r="F77" s="25">
        <f>IF(COUNT(G77)=1,G77,_xlfn.CEILING.MATH(COLUMNS($B61:F61)/3))</f>
        <v>2</v>
      </c>
      <c r="G77" s="60"/>
      <c r="H77" s="12" t="s">
        <v>196</v>
      </c>
      <c r="I77" s="25">
        <f>IF(COUNT(J77)=1,J77,_xlfn.CEILING.MATH(COLUMNS($B61:I61)/3))</f>
        <v>3</v>
      </c>
      <c r="J77" s="60"/>
      <c r="K77" s="12" t="s">
        <v>196</v>
      </c>
      <c r="L77" s="25">
        <f>IF(COUNT(M77)=1,M77,_xlfn.CEILING.MATH(COLUMNS($B61:L61)/3))</f>
        <v>4</v>
      </c>
      <c r="M77" s="60"/>
      <c r="N77" s="12" t="s">
        <v>196</v>
      </c>
      <c r="O77" s="25">
        <f>IF(COUNT(P77)=1,P77,_xlfn.CEILING.MATH(COLUMNS($B61:O61)/3))</f>
        <v>5</v>
      </c>
      <c r="P77" s="60"/>
      <c r="Q77" s="12" t="s">
        <v>196</v>
      </c>
      <c r="R77" s="25">
        <f>IF(COUNT(S77)=1,S77,_xlfn.CEILING.MATH(COLUMNS($B61:R61)/3))</f>
        <v>6</v>
      </c>
      <c r="S77" s="60"/>
      <c r="T77" s="12" t="s">
        <v>196</v>
      </c>
      <c r="U77" s="25">
        <f>IF(COUNT(V77)=1,V77,_xlfn.CEILING.MATH(COLUMNS($B61:U61)/3))</f>
        <v>7</v>
      </c>
      <c r="V77" s="60"/>
      <c r="W77" s="12" t="s">
        <v>196</v>
      </c>
      <c r="X77" s="25">
        <f>IF(COUNT(Y77)=1,Y77,_xlfn.CEILING.MATH(COLUMNS($B61:X61)/3))</f>
        <v>8</v>
      </c>
      <c r="Y77" s="60"/>
      <c r="Z77" s="12" t="s">
        <v>196</v>
      </c>
      <c r="AA77" s="25">
        <f>IF(COUNT(AB77)=1,AB77,_xlfn.CEILING.MATH(COLUMNS($B61:AA61)/3))</f>
        <v>9</v>
      </c>
      <c r="AB77" s="60"/>
      <c r="AC77" s="12" t="s">
        <v>196</v>
      </c>
      <c r="AD77" s="25">
        <f>IF(COUNT(AE77)=1,AE77,_xlfn.CEILING.MATH(COLUMNS($B61:AD61)/3))</f>
        <v>10</v>
      </c>
      <c r="AE77" s="60"/>
    </row>
    <row r="78" spans="2:31" x14ac:dyDescent="0.25">
      <c r="B78" s="12" t="s">
        <v>197</v>
      </c>
      <c r="C78" s="25">
        <f>IF(COUNT(D78)=1,D78,_xlfn.CEILING.MATH(COLUMNS($B62:C62)/3))</f>
        <v>1</v>
      </c>
      <c r="D78" s="61"/>
      <c r="E78" s="12" t="s">
        <v>197</v>
      </c>
      <c r="F78" s="25">
        <f>IF(COUNT(G78)=1,G78,_xlfn.CEILING.MATH(COLUMNS($B62:F62)/3))</f>
        <v>2</v>
      </c>
      <c r="G78" s="61"/>
      <c r="H78" s="12" t="s">
        <v>197</v>
      </c>
      <c r="I78" s="25">
        <f>IF(COUNT(J78)=1,J78,_xlfn.CEILING.MATH(COLUMNS($B62:I62)/3))</f>
        <v>3</v>
      </c>
      <c r="J78" s="61"/>
      <c r="K78" s="12" t="s">
        <v>197</v>
      </c>
      <c r="L78" s="25">
        <f>IF(COUNT(M78)=1,M78,_xlfn.CEILING.MATH(COLUMNS($B62:L62)/3))</f>
        <v>4</v>
      </c>
      <c r="M78" s="61"/>
      <c r="N78" s="12" t="s">
        <v>197</v>
      </c>
      <c r="O78" s="25">
        <f>IF(COUNT(P78)=1,P78,_xlfn.CEILING.MATH(COLUMNS($B62:O62)/3))</f>
        <v>5</v>
      </c>
      <c r="P78" s="61"/>
      <c r="Q78" s="12" t="s">
        <v>197</v>
      </c>
      <c r="R78" s="25">
        <f>IF(COUNT(S78)=1,S78,_xlfn.CEILING.MATH(COLUMNS($B62:R62)/3))</f>
        <v>6</v>
      </c>
      <c r="S78" s="61"/>
      <c r="T78" s="12" t="s">
        <v>197</v>
      </c>
      <c r="U78" s="25">
        <f>IF(COUNT(V78)=1,V78,_xlfn.CEILING.MATH(COLUMNS($B62:U62)/3))</f>
        <v>7</v>
      </c>
      <c r="V78" s="61"/>
      <c r="W78" s="12" t="s">
        <v>197</v>
      </c>
      <c r="X78" s="25">
        <f>IF(COUNT(Y78)=1,Y78,_xlfn.CEILING.MATH(COLUMNS($B62:X62)/3))</f>
        <v>8</v>
      </c>
      <c r="Y78" s="61"/>
      <c r="Z78" s="12" t="s">
        <v>197</v>
      </c>
      <c r="AA78" s="25">
        <f>IF(COUNT(AB78)=1,AB78,_xlfn.CEILING.MATH(COLUMNS($B62:AA62)/3))</f>
        <v>9</v>
      </c>
      <c r="AB78" s="61"/>
      <c r="AC78" s="12" t="s">
        <v>197</v>
      </c>
      <c r="AD78" s="25">
        <f>IF(COUNT(AE78)=1,AE78,_xlfn.CEILING.MATH(COLUMNS($B62:AD62)/3))</f>
        <v>10</v>
      </c>
      <c r="AE78" s="61"/>
    </row>
    <row r="79" spans="2:31" x14ac:dyDescent="0.25">
      <c r="D79" s="28"/>
      <c r="G79" s="28"/>
      <c r="J79" s="28"/>
      <c r="M79" s="28"/>
      <c r="P79" s="28"/>
      <c r="S79" s="28"/>
      <c r="V79" s="28"/>
      <c r="Y79" s="28"/>
      <c r="AB79" s="28"/>
      <c r="AE79" s="28"/>
    </row>
    <row r="80" spans="2:31" x14ac:dyDescent="0.25">
      <c r="B80" s="26" t="s">
        <v>141</v>
      </c>
      <c r="C80" s="22"/>
      <c r="D80" s="59"/>
      <c r="E80" s="26" t="s">
        <v>141</v>
      </c>
      <c r="F80" s="22"/>
      <c r="G80" s="59"/>
      <c r="H80" s="26" t="s">
        <v>141</v>
      </c>
      <c r="I80" s="22"/>
      <c r="J80" s="59"/>
      <c r="K80" s="26" t="s">
        <v>141</v>
      </c>
      <c r="L80" s="22"/>
      <c r="M80" s="59"/>
      <c r="N80" s="26" t="s">
        <v>141</v>
      </c>
      <c r="O80" s="22"/>
      <c r="P80" s="59"/>
      <c r="Q80" s="26" t="s">
        <v>141</v>
      </c>
      <c r="R80" s="22"/>
      <c r="S80" s="59"/>
      <c r="T80" s="26" t="s">
        <v>141</v>
      </c>
      <c r="U80" s="22"/>
      <c r="V80" s="59"/>
      <c r="W80" s="26" t="s">
        <v>141</v>
      </c>
      <c r="X80" s="22"/>
      <c r="Y80" s="59"/>
      <c r="Z80" s="26" t="s">
        <v>141</v>
      </c>
      <c r="AA80" s="22"/>
      <c r="AB80" s="59"/>
      <c r="AC80" s="26" t="s">
        <v>141</v>
      </c>
      <c r="AD80" s="22"/>
      <c r="AE80" s="59"/>
    </row>
    <row r="81" spans="2:31" x14ac:dyDescent="0.25">
      <c r="B81" s="12" t="s">
        <v>142</v>
      </c>
      <c r="C81" s="33">
        <f>IF(COUNT(D81)=1,D81,HLOOKUP('in-barn'!C9,defaults!$A$135:$C$143,MATCH('in-barn'!B81,defaults!$A$135:$A$143,0),FALSE))</f>
        <v>31.3</v>
      </c>
      <c r="D81" s="60"/>
      <c r="E81" s="12" t="s">
        <v>142</v>
      </c>
      <c r="F81" s="33">
        <f>IF(COUNT(G81)=1,G81,HLOOKUP('in-barn'!F9,defaults!$A$135:$C$143,MATCH('in-barn'!E81,defaults!$A$135:$A$143,0),FALSE))</f>
        <v>31.3</v>
      </c>
      <c r="G81" s="60"/>
      <c r="H81" s="12" t="s">
        <v>142</v>
      </c>
      <c r="I81" s="33">
        <f>IF(COUNT(J81)=1,J81,HLOOKUP('in-barn'!I9,defaults!$A$135:$C$143,MATCH('in-barn'!H81,defaults!$A$135:$A$143,0),FALSE))</f>
        <v>31.3</v>
      </c>
      <c r="J81" s="60"/>
      <c r="K81" s="12" t="s">
        <v>142</v>
      </c>
      <c r="L81" s="33">
        <f>IF(COUNT(M81)=1,M81,HLOOKUP('in-barn'!L9,defaults!$A$135:$C$143,MATCH('in-barn'!K81,defaults!$A$135:$A$143,0),FALSE))</f>
        <v>31.3</v>
      </c>
      <c r="M81" s="60"/>
      <c r="N81" s="12" t="s">
        <v>142</v>
      </c>
      <c r="O81" s="33">
        <f>IF(COUNT(P81)=1,P81,HLOOKUP('in-barn'!O9,defaults!$A$135:$C$143,MATCH('in-barn'!N81,defaults!$A$135:$A$143,0),FALSE))</f>
        <v>31.3</v>
      </c>
      <c r="P81" s="60"/>
      <c r="Q81" s="12" t="s">
        <v>142</v>
      </c>
      <c r="R81" s="33">
        <f>IF(COUNT(S81)=1,S81,HLOOKUP('in-barn'!R9,defaults!$A$135:$C$143,MATCH('in-barn'!Q81,defaults!$A$135:$A$143,0),FALSE))</f>
        <v>31.3</v>
      </c>
      <c r="S81" s="60"/>
      <c r="T81" s="12" t="s">
        <v>142</v>
      </c>
      <c r="U81" s="33">
        <f>IF(COUNT(V81)=1,V81,HLOOKUP('in-barn'!U9,defaults!$A$135:$C$143,MATCH('in-barn'!T81,defaults!$A$135:$A$143,0),FALSE))</f>
        <v>31.3</v>
      </c>
      <c r="V81" s="60"/>
      <c r="W81" s="12" t="s">
        <v>142</v>
      </c>
      <c r="X81" s="33">
        <f>IF(COUNT(Y81)=1,Y81,HLOOKUP('in-barn'!X9,defaults!$A$135:$C$143,MATCH('in-barn'!W81,defaults!$A$135:$A$143,0),FALSE))</f>
        <v>31.3</v>
      </c>
      <c r="Y81" s="60"/>
      <c r="Z81" s="12" t="s">
        <v>142</v>
      </c>
      <c r="AA81" s="33">
        <f>IF(COUNT(AB81)=1,AB81,HLOOKUP('in-barn'!AA9,defaults!$A$135:$C$143,MATCH('in-barn'!Z81,defaults!$A$135:$A$143,0),FALSE))</f>
        <v>31.3</v>
      </c>
      <c r="AB81" s="60"/>
      <c r="AC81" s="12" t="s">
        <v>142</v>
      </c>
      <c r="AD81" s="33">
        <f>IF(COUNT(AE81)=1,AE81,HLOOKUP('in-barn'!AD9,defaults!$A$135:$C$143,MATCH('in-barn'!AC81,defaults!$A$135:$A$143,0),FALSE))</f>
        <v>31.3</v>
      </c>
      <c r="AE81" s="60"/>
    </row>
    <row r="82" spans="2:31" x14ac:dyDescent="0.25">
      <c r="B82" s="12" t="s">
        <v>143</v>
      </c>
      <c r="C82" s="22">
        <f>IF(COUNT(D82)=1,D82,HLOOKUP('in-barn'!C9,defaults!$A$135:$C$143,MATCH('in-barn'!B82,defaults!$A$135:$A$143,0),FALSE))</f>
        <v>81000</v>
      </c>
      <c r="D82" s="60"/>
      <c r="E82" s="12" t="s">
        <v>143</v>
      </c>
      <c r="F82" s="22">
        <f>IF(COUNT(G82)=1,G82,HLOOKUP('in-barn'!F9,defaults!$A$135:$C$143,MATCH('in-barn'!E82,defaults!$A$135:$A$143,0),FALSE))</f>
        <v>81000</v>
      </c>
      <c r="G82" s="60"/>
      <c r="H82" s="12" t="s">
        <v>143</v>
      </c>
      <c r="I82" s="22">
        <f>IF(COUNT(J82)=1,J82,HLOOKUP('in-barn'!I9,defaults!$A$135:$C$143,MATCH('in-barn'!H82,defaults!$A$135:$A$143,0),FALSE))</f>
        <v>81000</v>
      </c>
      <c r="J82" s="60"/>
      <c r="K82" s="12" t="s">
        <v>143</v>
      </c>
      <c r="L82" s="22">
        <f>IF(COUNT(M82)=1,M82,HLOOKUP('in-barn'!L9,defaults!$A$135:$C$143,MATCH('in-barn'!K82,defaults!$A$135:$A$143,0),FALSE))</f>
        <v>81000</v>
      </c>
      <c r="M82" s="60"/>
      <c r="N82" s="12" t="s">
        <v>143</v>
      </c>
      <c r="O82" s="22">
        <f>IF(COUNT(P82)=1,P82,HLOOKUP('in-barn'!O9,defaults!$A$135:$C$143,MATCH('in-barn'!N82,defaults!$A$135:$A$143,0),FALSE))</f>
        <v>81000</v>
      </c>
      <c r="P82" s="60"/>
      <c r="Q82" s="12" t="s">
        <v>143</v>
      </c>
      <c r="R82" s="22">
        <f>IF(COUNT(S82)=1,S82,HLOOKUP('in-barn'!R9,defaults!$A$135:$C$143,MATCH('in-barn'!Q82,defaults!$A$135:$A$143,0),FALSE))</f>
        <v>81000</v>
      </c>
      <c r="S82" s="60"/>
      <c r="T82" s="12" t="s">
        <v>143</v>
      </c>
      <c r="U82" s="22">
        <f>IF(COUNT(V82)=1,V82,HLOOKUP('in-barn'!U9,defaults!$A$135:$C$143,MATCH('in-barn'!T82,defaults!$A$135:$A$143,0),FALSE))</f>
        <v>81000</v>
      </c>
      <c r="V82" s="60"/>
      <c r="W82" s="12" t="s">
        <v>143</v>
      </c>
      <c r="X82" s="22">
        <f>IF(COUNT(Y82)=1,Y82,HLOOKUP('in-barn'!X9,defaults!$A$135:$C$143,MATCH('in-barn'!W82,defaults!$A$135:$A$143,0),FALSE))</f>
        <v>81000</v>
      </c>
      <c r="Y82" s="60"/>
      <c r="Z82" s="12" t="s">
        <v>143</v>
      </c>
      <c r="AA82" s="22">
        <f>IF(COUNT(AB82)=1,AB82,HLOOKUP('in-barn'!AA9,defaults!$A$135:$C$143,MATCH('in-barn'!Z82,defaults!$A$135:$A$143,0),FALSE))</f>
        <v>81000</v>
      </c>
      <c r="AB82" s="60"/>
      <c r="AC82" s="12" t="s">
        <v>143</v>
      </c>
      <c r="AD82" s="22">
        <f>IF(COUNT(AE82)=1,AE82,HLOOKUP('in-barn'!AD9,defaults!$A$135:$C$143,MATCH('in-barn'!AC82,defaults!$A$135:$A$143,0),FALSE))</f>
        <v>81000</v>
      </c>
      <c r="AE82" s="60"/>
    </row>
    <row r="83" spans="2:31" x14ac:dyDescent="0.25">
      <c r="B83" s="12" t="s">
        <v>144</v>
      </c>
      <c r="C83" s="23">
        <f>IF(COUNT(D83)=1,D83,HLOOKUP('in-barn'!C9,defaults!$A$135:$C$143,MATCH('in-barn'!B83,defaults!$A$135:$A$143,0),FALSE))</f>
        <v>0.7</v>
      </c>
      <c r="D83" s="60"/>
      <c r="E83" s="12" t="s">
        <v>144</v>
      </c>
      <c r="F83" s="23">
        <f>IF(COUNT(G83)=1,G83,HLOOKUP('in-barn'!F9,defaults!$A$135:$C$143,MATCH('in-barn'!E83,defaults!$A$135:$A$143,0),FALSE))</f>
        <v>0.7</v>
      </c>
      <c r="G83" s="60"/>
      <c r="H83" s="12" t="s">
        <v>144</v>
      </c>
      <c r="I83" s="23">
        <f>IF(COUNT(J83)=1,J83,HLOOKUP('in-barn'!I9,defaults!$A$135:$C$143,MATCH('in-barn'!H83,defaults!$A$135:$A$143,0),FALSE))</f>
        <v>0.7</v>
      </c>
      <c r="J83" s="60"/>
      <c r="K83" s="12" t="s">
        <v>144</v>
      </c>
      <c r="L83" s="23">
        <f>IF(COUNT(M83)=1,M83,HLOOKUP('in-barn'!L9,defaults!$A$135:$C$143,MATCH('in-barn'!K83,defaults!$A$135:$A$143,0),FALSE))</f>
        <v>0.7</v>
      </c>
      <c r="M83" s="60"/>
      <c r="N83" s="12" t="s">
        <v>144</v>
      </c>
      <c r="O83" s="23">
        <f>IF(COUNT(P83)=1,P83,HLOOKUP('in-barn'!O9,defaults!$A$135:$C$143,MATCH('in-barn'!N83,defaults!$A$135:$A$143,0),FALSE))</f>
        <v>0.7</v>
      </c>
      <c r="P83" s="60"/>
      <c r="Q83" s="12" t="s">
        <v>144</v>
      </c>
      <c r="R83" s="23">
        <f>IF(COUNT(S83)=1,S83,HLOOKUP('in-barn'!R9,defaults!$A$135:$C$143,MATCH('in-barn'!Q83,defaults!$A$135:$A$143,0),FALSE))</f>
        <v>0.7</v>
      </c>
      <c r="S83" s="60"/>
      <c r="T83" s="12" t="s">
        <v>144</v>
      </c>
      <c r="U83" s="23">
        <f>IF(COUNT(V83)=1,V83,HLOOKUP('in-barn'!U9,defaults!$A$135:$C$143,MATCH('in-barn'!T83,defaults!$A$135:$A$143,0),FALSE))</f>
        <v>0.7</v>
      </c>
      <c r="V83" s="60"/>
      <c r="W83" s="12" t="s">
        <v>144</v>
      </c>
      <c r="X83" s="23">
        <f>IF(COUNT(Y83)=1,Y83,HLOOKUP('in-barn'!X9,defaults!$A$135:$C$143,MATCH('in-barn'!W83,defaults!$A$135:$A$143,0),FALSE))</f>
        <v>0.7</v>
      </c>
      <c r="Y83" s="60"/>
      <c r="Z83" s="12" t="s">
        <v>144</v>
      </c>
      <c r="AA83" s="23">
        <f>IF(COUNT(AB83)=1,AB83,HLOOKUP('in-barn'!AA9,defaults!$A$135:$C$143,MATCH('in-barn'!Z83,defaults!$A$135:$A$143,0),FALSE))</f>
        <v>0.7</v>
      </c>
      <c r="AB83" s="60"/>
      <c r="AC83" s="12" t="s">
        <v>144</v>
      </c>
      <c r="AD83" s="23">
        <f>IF(COUNT(AE83)=1,AE83,HLOOKUP('in-barn'!AD9,defaults!$A$135:$C$143,MATCH('in-barn'!AC83,defaults!$A$135:$A$143,0),FALSE))</f>
        <v>0.7</v>
      </c>
      <c r="AE83" s="60"/>
    </row>
    <row r="84" spans="2:31" x14ac:dyDescent="0.25">
      <c r="B84" s="12" t="s">
        <v>145</v>
      </c>
      <c r="C84" s="23">
        <f>IF(COUNT(D84)=1,D84,HLOOKUP('in-barn'!C9,defaults!$A$135:$C$143,MATCH('in-barn'!B84,defaults!$A$135:$A$143,0),FALSE))</f>
        <v>6.67</v>
      </c>
      <c r="D84" s="61"/>
      <c r="E84" s="12" t="s">
        <v>145</v>
      </c>
      <c r="F84" s="23">
        <f>IF(COUNT(G84)=1,G84,HLOOKUP('in-barn'!F9,defaults!$A$135:$C$143,MATCH('in-barn'!E84,defaults!$A$135:$A$143,0),FALSE))</f>
        <v>6.67</v>
      </c>
      <c r="G84" s="61"/>
      <c r="H84" s="12" t="s">
        <v>145</v>
      </c>
      <c r="I84" s="23">
        <f>IF(COUNT(J84)=1,J84,HLOOKUP('in-barn'!I9,defaults!$A$135:$C$143,MATCH('in-barn'!H84,defaults!$A$135:$A$143,0),FALSE))</f>
        <v>6.67</v>
      </c>
      <c r="J84" s="61"/>
      <c r="K84" s="12" t="s">
        <v>145</v>
      </c>
      <c r="L84" s="23">
        <f>IF(COUNT(M84)=1,M84,HLOOKUP('in-barn'!L9,defaults!$A$135:$C$143,MATCH('in-barn'!K84,defaults!$A$135:$A$143,0),FALSE))</f>
        <v>6.67</v>
      </c>
      <c r="M84" s="61"/>
      <c r="N84" s="12" t="s">
        <v>145</v>
      </c>
      <c r="O84" s="23">
        <f>IF(COUNT(P84)=1,P84,HLOOKUP('in-barn'!O9,defaults!$A$135:$C$143,MATCH('in-barn'!N84,defaults!$A$135:$A$143,0),FALSE))</f>
        <v>6.67</v>
      </c>
      <c r="P84" s="61"/>
      <c r="Q84" s="12" t="s">
        <v>145</v>
      </c>
      <c r="R84" s="23">
        <f>IF(COUNT(S84)=1,S84,HLOOKUP('in-barn'!R9,defaults!$A$135:$C$143,MATCH('in-barn'!Q84,defaults!$A$135:$A$143,0),FALSE))</f>
        <v>6.67</v>
      </c>
      <c r="S84" s="61"/>
      <c r="T84" s="12" t="s">
        <v>145</v>
      </c>
      <c r="U84" s="23">
        <f>IF(COUNT(V84)=1,V84,HLOOKUP('in-barn'!U9,defaults!$A$135:$C$143,MATCH('in-barn'!T84,defaults!$A$135:$A$143,0),FALSE))</f>
        <v>6.67</v>
      </c>
      <c r="V84" s="61"/>
      <c r="W84" s="12" t="s">
        <v>145</v>
      </c>
      <c r="X84" s="23">
        <f>IF(COUNT(Y84)=1,Y84,HLOOKUP('in-barn'!X9,defaults!$A$135:$C$143,MATCH('in-barn'!W84,defaults!$A$135:$A$143,0),FALSE))</f>
        <v>6.67</v>
      </c>
      <c r="Y84" s="61"/>
      <c r="Z84" s="12" t="s">
        <v>145</v>
      </c>
      <c r="AA84" s="23">
        <f>IF(COUNT(AB84)=1,AB84,HLOOKUP('in-barn'!AA9,defaults!$A$135:$C$143,MATCH('in-barn'!Z84,defaults!$A$135:$A$143,0),FALSE))</f>
        <v>6.67</v>
      </c>
      <c r="AB84" s="61"/>
      <c r="AC84" s="12" t="s">
        <v>145</v>
      </c>
      <c r="AD84" s="23">
        <f>IF(COUNT(AE84)=1,AE84,HLOOKUP('in-barn'!AD9,defaults!$A$135:$C$143,MATCH('in-barn'!AC84,defaults!$A$135:$A$143,0),FALSE))</f>
        <v>6.67</v>
      </c>
      <c r="AE84" s="61"/>
    </row>
    <row r="85" spans="2:31" x14ac:dyDescent="0.25">
      <c r="D85" s="28"/>
      <c r="G85" s="28"/>
      <c r="J85" s="28"/>
      <c r="M85" s="28"/>
      <c r="P85" s="28"/>
      <c r="S85" s="28"/>
      <c r="V85" s="28"/>
      <c r="Y85" s="28"/>
      <c r="AB85" s="28"/>
      <c r="AE85" s="28"/>
    </row>
    <row r="86" spans="2:31" x14ac:dyDescent="0.25">
      <c r="B86" s="26" t="s">
        <v>146</v>
      </c>
      <c r="C86" s="22"/>
      <c r="D86" s="59"/>
      <c r="E86" s="26" t="s">
        <v>146</v>
      </c>
      <c r="F86" s="22"/>
      <c r="G86" s="59"/>
      <c r="H86" s="26" t="s">
        <v>146</v>
      </c>
      <c r="I86" s="22"/>
      <c r="J86" s="59"/>
      <c r="K86" s="26" t="s">
        <v>146</v>
      </c>
      <c r="L86" s="22"/>
      <c r="M86" s="59"/>
      <c r="N86" s="26" t="s">
        <v>146</v>
      </c>
      <c r="O86" s="22"/>
      <c r="P86" s="59"/>
      <c r="Q86" s="26" t="s">
        <v>146</v>
      </c>
      <c r="R86" s="22"/>
      <c r="S86" s="59"/>
      <c r="T86" s="26" t="s">
        <v>146</v>
      </c>
      <c r="U86" s="22"/>
      <c r="V86" s="59"/>
      <c r="W86" s="26" t="s">
        <v>146</v>
      </c>
      <c r="X86" s="22"/>
      <c r="Y86" s="59"/>
      <c r="Z86" s="26" t="s">
        <v>146</v>
      </c>
      <c r="AA86" s="22"/>
      <c r="AB86" s="59"/>
      <c r="AC86" s="26" t="s">
        <v>146</v>
      </c>
      <c r="AD86" s="22"/>
      <c r="AE86" s="59"/>
    </row>
    <row r="87" spans="2:31" x14ac:dyDescent="0.25">
      <c r="B87" s="10" t="s">
        <v>147</v>
      </c>
      <c r="C87" s="33">
        <f>IF(COUNT(D87)=1,D87,HLOOKUP('in-barn'!C9,defaults!$A$142:$C$145,MATCH('in-barn'!B87,defaults!$A$142:$A$145,0),FALSE))</f>
        <v>54</v>
      </c>
      <c r="D87" s="60"/>
      <c r="E87" s="10" t="s">
        <v>147</v>
      </c>
      <c r="F87" s="33">
        <f>IF(COUNT(G87)=1,G87,HLOOKUP('in-barn'!F9,defaults!$A$142:$C$145,MATCH('in-barn'!E87,defaults!$A$142:$A$145,0),FALSE))</f>
        <v>54</v>
      </c>
      <c r="G87" s="60"/>
      <c r="H87" s="10" t="s">
        <v>147</v>
      </c>
      <c r="I87" s="33">
        <f>IF(COUNT(J87)=1,J87,HLOOKUP('in-barn'!I9,defaults!$A$142:$C$145,MATCH('in-barn'!H87,defaults!$A$142:$A$145,0),FALSE))</f>
        <v>54</v>
      </c>
      <c r="J87" s="60"/>
      <c r="K87" s="10" t="s">
        <v>147</v>
      </c>
      <c r="L87" s="33">
        <f>IF(COUNT(M87)=1,M87,HLOOKUP('in-barn'!L9,defaults!$A$142:$C$145,MATCH('in-barn'!K87,defaults!$A$142:$A$145,0),FALSE))</f>
        <v>54</v>
      </c>
      <c r="M87" s="60"/>
      <c r="N87" s="10" t="s">
        <v>147</v>
      </c>
      <c r="O87" s="33">
        <f>IF(COUNT(P87)=1,P87,HLOOKUP('in-barn'!O9,defaults!$A$142:$C$145,MATCH('in-barn'!N87,defaults!$A$142:$A$145,0),FALSE))</f>
        <v>54</v>
      </c>
      <c r="P87" s="60"/>
      <c r="Q87" s="10" t="s">
        <v>147</v>
      </c>
      <c r="R87" s="33">
        <f>IF(COUNT(S87)=1,S87,HLOOKUP('in-barn'!R9,defaults!$A$142:$C$145,MATCH('in-barn'!Q87,defaults!$A$142:$A$145,0),FALSE))</f>
        <v>54</v>
      </c>
      <c r="S87" s="60"/>
      <c r="T87" s="10" t="s">
        <v>147</v>
      </c>
      <c r="U87" s="33">
        <f>IF(COUNT(V87)=1,V87,HLOOKUP('in-barn'!U9,defaults!$A$142:$C$145,MATCH('in-barn'!T87,defaults!$A$142:$A$145,0),FALSE))</f>
        <v>54</v>
      </c>
      <c r="V87" s="60"/>
      <c r="W87" s="10" t="s">
        <v>147</v>
      </c>
      <c r="X87" s="33">
        <f>IF(COUNT(Y87)=1,Y87,HLOOKUP('in-barn'!X9,defaults!$A$142:$C$145,MATCH('in-barn'!W87,defaults!$A$142:$A$145,0),FALSE))</f>
        <v>54</v>
      </c>
      <c r="Y87" s="60"/>
      <c r="Z87" s="10" t="s">
        <v>147</v>
      </c>
      <c r="AA87" s="33">
        <f>IF(COUNT(AB87)=1,AB87,HLOOKUP('in-barn'!AA9,defaults!$A$142:$C$145,MATCH('in-barn'!Z87,defaults!$A$142:$A$145,0),FALSE))</f>
        <v>54</v>
      </c>
      <c r="AB87" s="60"/>
      <c r="AC87" s="10" t="s">
        <v>147</v>
      </c>
      <c r="AD87" s="33">
        <f>IF(COUNT(AE87)=1,AE87,HLOOKUP('in-barn'!AD9,defaults!$A$142:$C$145,MATCH('in-barn'!AC87,defaults!$A$142:$A$145,0),FALSE))</f>
        <v>54</v>
      </c>
      <c r="AE87" s="60"/>
    </row>
    <row r="88" spans="2:31" x14ac:dyDescent="0.25">
      <c r="B88" s="10" t="s">
        <v>148</v>
      </c>
      <c r="C88" s="33">
        <f>IF(COUNT(D88)=1,D88,HLOOKUP('in-barn'!C9,defaults!$A$142:$C$145,MATCH('in-barn'!B88,defaults!$A$142:$A$145,0),FALSE))</f>
        <v>23</v>
      </c>
      <c r="D88" s="60"/>
      <c r="E88" s="10" t="s">
        <v>148</v>
      </c>
      <c r="F88" s="33">
        <f>IF(COUNT(G88)=1,G88,HLOOKUP('in-barn'!F9,defaults!$A$142:$C$145,MATCH('in-barn'!E88,defaults!$A$142:$A$145,0),FALSE))</f>
        <v>23</v>
      </c>
      <c r="G88" s="60"/>
      <c r="H88" s="10" t="s">
        <v>148</v>
      </c>
      <c r="I88" s="33">
        <f>IF(COUNT(J88)=1,J88,HLOOKUP('in-barn'!I9,defaults!$A$142:$C$145,MATCH('in-barn'!H88,defaults!$A$142:$A$145,0),FALSE))</f>
        <v>23</v>
      </c>
      <c r="J88" s="60"/>
      <c r="K88" s="10" t="s">
        <v>148</v>
      </c>
      <c r="L88" s="33">
        <f>IF(COUNT(M88)=1,M88,HLOOKUP('in-barn'!L9,defaults!$A$142:$C$145,MATCH('in-barn'!K88,defaults!$A$142:$A$145,0),FALSE))</f>
        <v>23</v>
      </c>
      <c r="M88" s="60"/>
      <c r="N88" s="10" t="s">
        <v>148</v>
      </c>
      <c r="O88" s="33">
        <f>IF(COUNT(P88)=1,P88,HLOOKUP('in-barn'!O9,defaults!$A$142:$C$145,MATCH('in-barn'!N88,defaults!$A$142:$A$145,0),FALSE))</f>
        <v>23</v>
      </c>
      <c r="P88" s="60"/>
      <c r="Q88" s="10" t="s">
        <v>148</v>
      </c>
      <c r="R88" s="33">
        <f>IF(COUNT(S88)=1,S88,HLOOKUP('in-barn'!R9,defaults!$A$142:$C$145,MATCH('in-barn'!Q88,defaults!$A$142:$A$145,0),FALSE))</f>
        <v>23</v>
      </c>
      <c r="S88" s="60"/>
      <c r="T88" s="10" t="s">
        <v>148</v>
      </c>
      <c r="U88" s="33">
        <f>IF(COUNT(V88)=1,V88,HLOOKUP('in-barn'!U9,defaults!$A$142:$C$145,MATCH('in-barn'!T88,defaults!$A$142:$A$145,0),FALSE))</f>
        <v>23</v>
      </c>
      <c r="V88" s="60"/>
      <c r="W88" s="10" t="s">
        <v>148</v>
      </c>
      <c r="X88" s="33">
        <f>IF(COUNT(Y88)=1,Y88,HLOOKUP('in-barn'!X9,defaults!$A$142:$C$145,MATCH('in-barn'!W88,defaults!$A$142:$A$145,0),FALSE))</f>
        <v>23</v>
      </c>
      <c r="Y88" s="60"/>
      <c r="Z88" s="10" t="s">
        <v>148</v>
      </c>
      <c r="AA88" s="33">
        <f>IF(COUNT(AB88)=1,AB88,HLOOKUP('in-barn'!AA9,defaults!$A$142:$C$145,MATCH('in-barn'!Z88,defaults!$A$142:$A$145,0),FALSE))</f>
        <v>23</v>
      </c>
      <c r="AB88" s="60"/>
      <c r="AC88" s="10" t="s">
        <v>148</v>
      </c>
      <c r="AD88" s="33">
        <f>IF(COUNT(AE88)=1,AE88,HLOOKUP('in-barn'!AD9,defaults!$A$142:$C$145,MATCH('in-barn'!AC88,defaults!$A$142:$A$145,0),FALSE))</f>
        <v>23</v>
      </c>
      <c r="AE88" s="60"/>
    </row>
    <row r="89" spans="2:31" x14ac:dyDescent="0.25">
      <c r="B89" s="10" t="s">
        <v>198</v>
      </c>
      <c r="C89" s="33">
        <f>IF(COUNT(D89)=1,D89,HLOOKUP(C12,defaults!$A$147:$AA$179,MATCH(C10,defaults!$A$147:$A$179,0),FALSE))</f>
        <v>0</v>
      </c>
      <c r="D89" s="61"/>
      <c r="E89" s="10" t="s">
        <v>198</v>
      </c>
      <c r="F89" s="33">
        <f>IF(COUNT(G89)=1,G89,HLOOKUP(F12,defaults!$A$147:$AA$179,MATCH(F10,defaults!$A$147:$A$179,0),FALSE))</f>
        <v>0</v>
      </c>
      <c r="G89" s="61"/>
      <c r="H89" s="10" t="s">
        <v>198</v>
      </c>
      <c r="I89" s="33">
        <f>IF(COUNT(J89)=1,J89,HLOOKUP(I12,defaults!$A$147:$AA$179,MATCH(I10,defaults!$A$147:$A$179,0),FALSE))</f>
        <v>0</v>
      </c>
      <c r="J89" s="61"/>
      <c r="K89" s="10" t="s">
        <v>198</v>
      </c>
      <c r="L89" s="33">
        <f>IF(COUNT(M89)=1,M89,HLOOKUP(L12,defaults!$A$147:$AA$179,MATCH(L10,defaults!$A$147:$A$179,0),FALSE))</f>
        <v>0</v>
      </c>
      <c r="M89" s="61"/>
      <c r="N89" s="10" t="s">
        <v>198</v>
      </c>
      <c r="O89" s="33">
        <f>IF(COUNT(P89)=1,P89,HLOOKUP(O12,defaults!$A$147:$AA$179,MATCH(O10,defaults!$A$147:$A$179,0),FALSE))</f>
        <v>0</v>
      </c>
      <c r="P89" s="61"/>
      <c r="Q89" s="10" t="s">
        <v>198</v>
      </c>
      <c r="R89" s="33">
        <f>IF(COUNT(S89)=1,S89,HLOOKUP(R12,defaults!$A$147:$AA$179,MATCH(R10,defaults!$A$147:$A$179,0),FALSE))</f>
        <v>0</v>
      </c>
      <c r="S89" s="61"/>
      <c r="T89" s="10" t="s">
        <v>198</v>
      </c>
      <c r="U89" s="33">
        <f>IF(COUNT(V89)=1,V89,HLOOKUP(U12,defaults!$A$147:$AA$179,MATCH(U10,defaults!$A$147:$A$179,0),FALSE))</f>
        <v>0</v>
      </c>
      <c r="V89" s="61"/>
      <c r="W89" s="10" t="s">
        <v>198</v>
      </c>
      <c r="X89" s="33">
        <f>IF(COUNT(Y89)=1,Y89,HLOOKUP(X12,defaults!$A$147:$AA$179,MATCH(X10,defaults!$A$147:$A$179,0),FALSE))</f>
        <v>0</v>
      </c>
      <c r="Y89" s="61"/>
      <c r="Z89" s="10" t="s">
        <v>198</v>
      </c>
      <c r="AA89" s="33">
        <f>IF(COUNT(AB89)=1,AB89,HLOOKUP(AA12,defaults!$A$147:$AA$179,MATCH(AA10,defaults!$A$147:$A$179,0),FALSE))</f>
        <v>0</v>
      </c>
      <c r="AB89" s="61"/>
      <c r="AC89" s="10" t="s">
        <v>198</v>
      </c>
      <c r="AD89" s="33">
        <f>IF(COUNT(AE89)=1,AE89,HLOOKUP(AD12,defaults!$A$147:$AA$179,MATCH(AD10,defaults!$A$147:$A$179,0),FALSE))</f>
        <v>0</v>
      </c>
      <c r="AE89" s="61"/>
    </row>
  </sheetData>
  <sheetProtection formatCells="0" formatColumns="0" formatRows="0" insertColumns="0" insertRows="0" insertHyperlinks="0" sort="0" autoFilter="0" pivotTables="0"/>
  <conditionalFormatting sqref="D76:D77 D63:D64 D68:D73 D80:D82 D8:D61">
    <cfRule type="expression" dxfId="177" priority="183">
      <formula>#REF!</formula>
    </cfRule>
  </conditionalFormatting>
  <conditionalFormatting sqref="D83">
    <cfRule type="expression" dxfId="176" priority="149">
      <formula>#REF!</formula>
    </cfRule>
  </conditionalFormatting>
  <conditionalFormatting sqref="D86:D87">
    <cfRule type="expression" dxfId="175" priority="148">
      <formula>#REF!</formula>
    </cfRule>
  </conditionalFormatting>
  <conditionalFormatting sqref="D78">
    <cfRule type="expression" dxfId="174" priority="146">
      <formula>#REF!</formula>
    </cfRule>
  </conditionalFormatting>
  <conditionalFormatting sqref="D74">
    <cfRule type="expression" dxfId="173" priority="145">
      <formula>#REF!</formula>
    </cfRule>
  </conditionalFormatting>
  <conditionalFormatting sqref="D84">
    <cfRule type="expression" dxfId="172" priority="144">
      <formula>#REF!</formula>
    </cfRule>
  </conditionalFormatting>
  <conditionalFormatting sqref="D88:D89">
    <cfRule type="expression" dxfId="171" priority="143">
      <formula>#REF!</formula>
    </cfRule>
  </conditionalFormatting>
  <conditionalFormatting sqref="D66:D67">
    <cfRule type="expression" dxfId="170" priority="142">
      <formula>#REF!</formula>
    </cfRule>
  </conditionalFormatting>
  <conditionalFormatting sqref="D65">
    <cfRule type="expression" dxfId="169" priority="140">
      <formula>#REF!</formula>
    </cfRule>
  </conditionalFormatting>
  <conditionalFormatting sqref="B79:D1048576 B77:B78 D77:D78 E49:G76 E48:F48 B61:D76 D47:D60 B1:D46 E9:G47 H9:AE76">
    <cfRule type="expression" dxfId="168" priority="130">
      <formula>$C$8="deactive"</formula>
    </cfRule>
  </conditionalFormatting>
  <conditionalFormatting sqref="G76:G77 G63:G64 G68:G73 G80:G82 G49:G61 G8:G47 J8:J61 M8:M61 P8:P61 S8:S61 V8:V61 Y8:Y61 AB8:AB61 AE8:AE61">
    <cfRule type="expression" dxfId="167" priority="129">
      <formula>#REF!</formula>
    </cfRule>
  </conditionalFormatting>
  <conditionalFormatting sqref="G83">
    <cfRule type="expression" dxfId="166" priority="128">
      <formula>#REF!</formula>
    </cfRule>
  </conditionalFormatting>
  <conditionalFormatting sqref="G86:G87">
    <cfRule type="expression" dxfId="165" priority="127">
      <formula>#REF!</formula>
    </cfRule>
  </conditionalFormatting>
  <conditionalFormatting sqref="G78">
    <cfRule type="expression" dxfId="164" priority="126">
      <formula>#REF!</formula>
    </cfRule>
  </conditionalFormatting>
  <conditionalFormatting sqref="G74">
    <cfRule type="expression" dxfId="163" priority="125">
      <formula>#REF!</formula>
    </cfRule>
  </conditionalFormatting>
  <conditionalFormatting sqref="G84">
    <cfRule type="expression" dxfId="162" priority="124">
      <formula>#REF!</formula>
    </cfRule>
  </conditionalFormatting>
  <conditionalFormatting sqref="G88:G89">
    <cfRule type="expression" dxfId="161" priority="123">
      <formula>#REF!</formula>
    </cfRule>
  </conditionalFormatting>
  <conditionalFormatting sqref="G66:G67">
    <cfRule type="expression" dxfId="160" priority="122">
      <formula>#REF!</formula>
    </cfRule>
  </conditionalFormatting>
  <conditionalFormatting sqref="G65">
    <cfRule type="expression" dxfId="159" priority="121">
      <formula>#REF!</formula>
    </cfRule>
  </conditionalFormatting>
  <conditionalFormatting sqref="E6:G7 E8 G8 E79:G1048576 E77:E78 G77:G78">
    <cfRule type="expression" dxfId="158" priority="120">
      <formula>$C$8="deactive"</formula>
    </cfRule>
  </conditionalFormatting>
  <conditionalFormatting sqref="J76:J77 J63:J64 J68:J73 J80:J82">
    <cfRule type="expression" dxfId="157" priority="119">
      <formula>#REF!</formula>
    </cfRule>
  </conditionalFormatting>
  <conditionalFormatting sqref="J83">
    <cfRule type="expression" dxfId="156" priority="118">
      <formula>#REF!</formula>
    </cfRule>
  </conditionalFormatting>
  <conditionalFormatting sqref="J86:J87">
    <cfRule type="expression" dxfId="155" priority="117">
      <formula>#REF!</formula>
    </cfRule>
  </conditionalFormatting>
  <conditionalFormatting sqref="J78">
    <cfRule type="expression" dxfId="154" priority="116">
      <formula>#REF!</formula>
    </cfRule>
  </conditionalFormatting>
  <conditionalFormatting sqref="J74">
    <cfRule type="expression" dxfId="153" priority="115">
      <formula>#REF!</formula>
    </cfRule>
  </conditionalFormatting>
  <conditionalFormatting sqref="J84">
    <cfRule type="expression" dxfId="152" priority="114">
      <formula>#REF!</formula>
    </cfRule>
  </conditionalFormatting>
  <conditionalFormatting sqref="J88:J89">
    <cfRule type="expression" dxfId="151" priority="113">
      <formula>#REF!</formula>
    </cfRule>
  </conditionalFormatting>
  <conditionalFormatting sqref="J66:J67">
    <cfRule type="expression" dxfId="150" priority="112">
      <formula>#REF!</formula>
    </cfRule>
  </conditionalFormatting>
  <conditionalFormatting sqref="J65">
    <cfRule type="expression" dxfId="149" priority="111">
      <formula>#REF!</formula>
    </cfRule>
  </conditionalFormatting>
  <conditionalFormatting sqref="H6:J7 H8 J8 H79:J1048576 H77:H78 J77:J78">
    <cfRule type="expression" dxfId="148" priority="110">
      <formula>$C$8="deactive"</formula>
    </cfRule>
  </conditionalFormatting>
  <conditionalFormatting sqref="M76:M77 M63:M64 M68:M73 M80:M82">
    <cfRule type="expression" dxfId="147" priority="109">
      <formula>#REF!</formula>
    </cfRule>
  </conditionalFormatting>
  <conditionalFormatting sqref="M83">
    <cfRule type="expression" dxfId="146" priority="108">
      <formula>#REF!</formula>
    </cfRule>
  </conditionalFormatting>
  <conditionalFormatting sqref="M86:M87">
    <cfRule type="expression" dxfId="145" priority="107">
      <formula>#REF!</formula>
    </cfRule>
  </conditionalFormatting>
  <conditionalFormatting sqref="M78">
    <cfRule type="expression" dxfId="144" priority="106">
      <formula>#REF!</formula>
    </cfRule>
  </conditionalFormatting>
  <conditionalFormatting sqref="M74">
    <cfRule type="expression" dxfId="143" priority="105">
      <formula>#REF!</formula>
    </cfRule>
  </conditionalFormatting>
  <conditionalFormatting sqref="M84">
    <cfRule type="expression" dxfId="142" priority="104">
      <formula>#REF!</formula>
    </cfRule>
  </conditionalFormatting>
  <conditionalFormatting sqref="M88:M89">
    <cfRule type="expression" dxfId="141" priority="103">
      <formula>#REF!</formula>
    </cfRule>
  </conditionalFormatting>
  <conditionalFormatting sqref="M66:M67">
    <cfRule type="expression" dxfId="140" priority="102">
      <formula>#REF!</formula>
    </cfRule>
  </conditionalFormatting>
  <conditionalFormatting sqref="M65">
    <cfRule type="expression" dxfId="139" priority="101">
      <formula>#REF!</formula>
    </cfRule>
  </conditionalFormatting>
  <conditionalFormatting sqref="K6:M7 K8 M8 K79:M1048576 K77:K78 M77:M78">
    <cfRule type="expression" dxfId="138" priority="100">
      <formula>$C$8="deactive"</formula>
    </cfRule>
  </conditionalFormatting>
  <conditionalFormatting sqref="P76:P77 P63:P64 P68:P73 P80:P82">
    <cfRule type="expression" dxfId="137" priority="99">
      <formula>#REF!</formula>
    </cfRule>
  </conditionalFormatting>
  <conditionalFormatting sqref="P83">
    <cfRule type="expression" dxfId="136" priority="98">
      <formula>#REF!</formula>
    </cfRule>
  </conditionalFormatting>
  <conditionalFormatting sqref="P86:P87">
    <cfRule type="expression" dxfId="135" priority="97">
      <formula>#REF!</formula>
    </cfRule>
  </conditionalFormatting>
  <conditionalFormatting sqref="P78">
    <cfRule type="expression" dxfId="134" priority="96">
      <formula>#REF!</formula>
    </cfRule>
  </conditionalFormatting>
  <conditionalFormatting sqref="P74">
    <cfRule type="expression" dxfId="133" priority="95">
      <formula>#REF!</formula>
    </cfRule>
  </conditionalFormatting>
  <conditionalFormatting sqref="P84">
    <cfRule type="expression" dxfId="132" priority="94">
      <formula>#REF!</formula>
    </cfRule>
  </conditionalFormatting>
  <conditionalFormatting sqref="P88:P89">
    <cfRule type="expression" dxfId="131" priority="93">
      <formula>#REF!</formula>
    </cfRule>
  </conditionalFormatting>
  <conditionalFormatting sqref="P66:P67">
    <cfRule type="expression" dxfId="130" priority="92">
      <formula>#REF!</formula>
    </cfRule>
  </conditionalFormatting>
  <conditionalFormatting sqref="P65">
    <cfRule type="expression" dxfId="129" priority="91">
      <formula>#REF!</formula>
    </cfRule>
  </conditionalFormatting>
  <conditionalFormatting sqref="N6:P7 N8 P8 N79:P1048576 N77:N78 P77:P78">
    <cfRule type="expression" dxfId="128" priority="90">
      <formula>$C$8="deactive"</formula>
    </cfRule>
  </conditionalFormatting>
  <conditionalFormatting sqref="S76:S77 S63:S64 S68:S73 S80:S82">
    <cfRule type="expression" dxfId="127" priority="89">
      <formula>#REF!</formula>
    </cfRule>
  </conditionalFormatting>
  <conditionalFormatting sqref="S83">
    <cfRule type="expression" dxfId="126" priority="88">
      <formula>#REF!</formula>
    </cfRule>
  </conditionalFormatting>
  <conditionalFormatting sqref="S86:S87">
    <cfRule type="expression" dxfId="125" priority="87">
      <formula>#REF!</formula>
    </cfRule>
  </conditionalFormatting>
  <conditionalFormatting sqref="S78">
    <cfRule type="expression" dxfId="124" priority="86">
      <formula>#REF!</formula>
    </cfRule>
  </conditionalFormatting>
  <conditionalFormatting sqref="S74">
    <cfRule type="expression" dxfId="123" priority="85">
      <formula>#REF!</formula>
    </cfRule>
  </conditionalFormatting>
  <conditionalFormatting sqref="S84">
    <cfRule type="expression" dxfId="122" priority="84">
      <formula>#REF!</formula>
    </cfRule>
  </conditionalFormatting>
  <conditionalFormatting sqref="S88:S89">
    <cfRule type="expression" dxfId="121" priority="83">
      <formula>#REF!</formula>
    </cfRule>
  </conditionalFormatting>
  <conditionalFormatting sqref="S66:S67">
    <cfRule type="expression" dxfId="120" priority="82">
      <formula>#REF!</formula>
    </cfRule>
  </conditionalFormatting>
  <conditionalFormatting sqref="S65">
    <cfRule type="expression" dxfId="119" priority="81">
      <formula>#REF!</formula>
    </cfRule>
  </conditionalFormatting>
  <conditionalFormatting sqref="Q6:S7 Q8 S8 Q79:S1048576 Q77:Q78 S77:S78">
    <cfRule type="expression" dxfId="118" priority="80">
      <formula>$C$8="deactive"</formula>
    </cfRule>
  </conditionalFormatting>
  <conditionalFormatting sqref="V76:V77 V63:V64 V68:V73 V80:V82">
    <cfRule type="expression" dxfId="117" priority="79">
      <formula>#REF!</formula>
    </cfRule>
  </conditionalFormatting>
  <conditionalFormatting sqref="V83">
    <cfRule type="expression" dxfId="116" priority="78">
      <formula>#REF!</formula>
    </cfRule>
  </conditionalFormatting>
  <conditionalFormatting sqref="V86:V87">
    <cfRule type="expression" dxfId="115" priority="77">
      <formula>#REF!</formula>
    </cfRule>
  </conditionalFormatting>
  <conditionalFormatting sqref="V78">
    <cfRule type="expression" dxfId="114" priority="76">
      <formula>#REF!</formula>
    </cfRule>
  </conditionalFormatting>
  <conditionalFormatting sqref="V74">
    <cfRule type="expression" dxfId="113" priority="75">
      <formula>#REF!</formula>
    </cfRule>
  </conditionalFormatting>
  <conditionalFormatting sqref="V84">
    <cfRule type="expression" dxfId="112" priority="74">
      <formula>#REF!</formula>
    </cfRule>
  </conditionalFormatting>
  <conditionalFormatting sqref="V88:V89">
    <cfRule type="expression" dxfId="111" priority="73">
      <formula>#REF!</formula>
    </cfRule>
  </conditionalFormatting>
  <conditionalFormatting sqref="V66:V67">
    <cfRule type="expression" dxfId="110" priority="72">
      <formula>#REF!</formula>
    </cfRule>
  </conditionalFormatting>
  <conditionalFormatting sqref="V65">
    <cfRule type="expression" dxfId="109" priority="71">
      <formula>#REF!</formula>
    </cfRule>
  </conditionalFormatting>
  <conditionalFormatting sqref="T6:V7 T8 V8 T79:V1048576 T77:T78 V77:V78">
    <cfRule type="expression" dxfId="108" priority="70">
      <formula>$C$8="deactive"</formula>
    </cfRule>
  </conditionalFormatting>
  <conditionalFormatting sqref="Y76:Y77 Y63:Y64 Y68:Y73 Y80:Y82">
    <cfRule type="expression" dxfId="107" priority="69">
      <formula>#REF!</formula>
    </cfRule>
  </conditionalFormatting>
  <conditionalFormatting sqref="Y83">
    <cfRule type="expression" dxfId="106" priority="68">
      <formula>#REF!</formula>
    </cfRule>
  </conditionalFormatting>
  <conditionalFormatting sqref="Y86:Y87">
    <cfRule type="expression" dxfId="105" priority="67">
      <formula>#REF!</formula>
    </cfRule>
  </conditionalFormatting>
  <conditionalFormatting sqref="Y78">
    <cfRule type="expression" dxfId="104" priority="66">
      <formula>#REF!</formula>
    </cfRule>
  </conditionalFormatting>
  <conditionalFormatting sqref="Y74">
    <cfRule type="expression" dxfId="103" priority="65">
      <formula>#REF!</formula>
    </cfRule>
  </conditionalFormatting>
  <conditionalFormatting sqref="Y84">
    <cfRule type="expression" dxfId="102" priority="64">
      <formula>#REF!</formula>
    </cfRule>
  </conditionalFormatting>
  <conditionalFormatting sqref="Y88:Y89">
    <cfRule type="expression" dxfId="101" priority="63">
      <formula>#REF!</formula>
    </cfRule>
  </conditionalFormatting>
  <conditionalFormatting sqref="Y66:Y67">
    <cfRule type="expression" dxfId="100" priority="62">
      <formula>#REF!</formula>
    </cfRule>
  </conditionalFormatting>
  <conditionalFormatting sqref="Y65">
    <cfRule type="expression" dxfId="99" priority="61">
      <formula>#REF!</formula>
    </cfRule>
  </conditionalFormatting>
  <conditionalFormatting sqref="W6:Y7 W8 Y8 W79:Y1048576 W77:W78 Y77:Y78">
    <cfRule type="expression" dxfId="98" priority="60">
      <formula>$C$8="deactive"</formula>
    </cfRule>
  </conditionalFormatting>
  <conditionalFormatting sqref="AB76:AB77 AB63:AB64 AB68:AB73 AB80:AB82">
    <cfRule type="expression" dxfId="97" priority="59">
      <formula>#REF!</formula>
    </cfRule>
  </conditionalFormatting>
  <conditionalFormatting sqref="AB83">
    <cfRule type="expression" dxfId="96" priority="58">
      <formula>#REF!</formula>
    </cfRule>
  </conditionalFormatting>
  <conditionalFormatting sqref="AB86:AB87">
    <cfRule type="expression" dxfId="95" priority="57">
      <formula>#REF!</formula>
    </cfRule>
  </conditionalFormatting>
  <conditionalFormatting sqref="AB78">
    <cfRule type="expression" dxfId="94" priority="56">
      <formula>#REF!</formula>
    </cfRule>
  </conditionalFormatting>
  <conditionalFormatting sqref="AB74">
    <cfRule type="expression" dxfId="93" priority="55">
      <formula>#REF!</formula>
    </cfRule>
  </conditionalFormatting>
  <conditionalFormatting sqref="AB84">
    <cfRule type="expression" dxfId="92" priority="54">
      <formula>#REF!</formula>
    </cfRule>
  </conditionalFormatting>
  <conditionalFormatting sqref="AB88:AB89">
    <cfRule type="expression" dxfId="91" priority="53">
      <formula>#REF!</formula>
    </cfRule>
  </conditionalFormatting>
  <conditionalFormatting sqref="AB66:AB67">
    <cfRule type="expression" dxfId="90" priority="52">
      <formula>#REF!</formula>
    </cfRule>
  </conditionalFormatting>
  <conditionalFormatting sqref="AB65">
    <cfRule type="expression" dxfId="89" priority="51">
      <formula>#REF!</formula>
    </cfRule>
  </conditionalFormatting>
  <conditionalFormatting sqref="Z6:AB7 Z8 AB8 Z79:AB1048576 Z77:Z78 AB77:AB78">
    <cfRule type="expression" dxfId="88" priority="50">
      <formula>$C$8="deactive"</formula>
    </cfRule>
  </conditionalFormatting>
  <conditionalFormatting sqref="AE76:AE77 AE63:AE64 AE68:AE73 AE80:AE82">
    <cfRule type="expression" dxfId="87" priority="49">
      <formula>#REF!</formula>
    </cfRule>
  </conditionalFormatting>
  <conditionalFormatting sqref="AE83">
    <cfRule type="expression" dxfId="86" priority="48">
      <formula>#REF!</formula>
    </cfRule>
  </conditionalFormatting>
  <conditionalFormatting sqref="AE86:AE87">
    <cfRule type="expression" dxfId="85" priority="47">
      <formula>#REF!</formula>
    </cfRule>
  </conditionalFormatting>
  <conditionalFormatting sqref="AE78">
    <cfRule type="expression" dxfId="84" priority="46">
      <formula>#REF!</formula>
    </cfRule>
  </conditionalFormatting>
  <conditionalFormatting sqref="AE74">
    <cfRule type="expression" dxfId="83" priority="45">
      <formula>#REF!</formula>
    </cfRule>
  </conditionalFormatting>
  <conditionalFormatting sqref="AE84">
    <cfRule type="expression" dxfId="82" priority="44">
      <formula>#REF!</formula>
    </cfRule>
  </conditionalFormatting>
  <conditionalFormatting sqref="AE88:AE89">
    <cfRule type="expression" dxfId="81" priority="43">
      <formula>#REF!</formula>
    </cfRule>
  </conditionalFormatting>
  <conditionalFormatting sqref="AE66:AE67">
    <cfRule type="expression" dxfId="80" priority="42">
      <formula>#REF!</formula>
    </cfRule>
  </conditionalFormatting>
  <conditionalFormatting sqref="AE65">
    <cfRule type="expression" dxfId="79" priority="41">
      <formula>#REF!</formula>
    </cfRule>
  </conditionalFormatting>
  <conditionalFormatting sqref="AC6:AE7 AC8 AE8 AC79:AE1048576 AC77:AC78 AE77:AE78">
    <cfRule type="expression" dxfId="78" priority="40">
      <formula>$C$8="deactive"</formula>
    </cfRule>
  </conditionalFormatting>
  <conditionalFormatting sqref="E1:G7 E8 G8 E79:G1048576 E77:E78 G77:G78 E49:G76 E48:F48 E9:G47">
    <cfRule type="expression" dxfId="77" priority="39">
      <formula>$F$8="deactive"</formula>
    </cfRule>
  </conditionalFormatting>
  <conditionalFormatting sqref="F8">
    <cfRule type="expression" dxfId="76" priority="38">
      <formula>$C$8="deactive"</formula>
    </cfRule>
  </conditionalFormatting>
  <conditionalFormatting sqref="I8">
    <cfRule type="expression" dxfId="75" priority="37">
      <formula>$C$8="deactive"</formula>
    </cfRule>
  </conditionalFormatting>
  <conditionalFormatting sqref="L8">
    <cfRule type="expression" dxfId="74" priority="36">
      <formula>$C$8="deactive"</formula>
    </cfRule>
  </conditionalFormatting>
  <conditionalFormatting sqref="O8">
    <cfRule type="expression" dxfId="73" priority="35">
      <formula>$C$8="deactive"</formula>
    </cfRule>
  </conditionalFormatting>
  <conditionalFormatting sqref="R8">
    <cfRule type="expression" dxfId="72" priority="34">
      <formula>$C$8="deactive"</formula>
    </cfRule>
  </conditionalFormatting>
  <conditionalFormatting sqref="U8">
    <cfRule type="expression" dxfId="71" priority="33">
      <formula>$C$8="deactive"</formula>
    </cfRule>
  </conditionalFormatting>
  <conditionalFormatting sqref="X8">
    <cfRule type="expression" dxfId="70" priority="32">
      <formula>$C$8="deactive"</formula>
    </cfRule>
  </conditionalFormatting>
  <conditionalFormatting sqref="AA8">
    <cfRule type="expression" dxfId="69" priority="31">
      <formula>$C$8="deactive"</formula>
    </cfRule>
  </conditionalFormatting>
  <conditionalFormatting sqref="AD8">
    <cfRule type="expression" dxfId="68" priority="30">
      <formula>$C$8="deactive"</formula>
    </cfRule>
  </conditionalFormatting>
  <conditionalFormatting sqref="H79:J1048576 H77:H78 J77:J78 H1:J76">
    <cfRule type="expression" dxfId="67" priority="29">
      <formula>$I$8="deactive"</formula>
    </cfRule>
  </conditionalFormatting>
  <conditionalFormatting sqref="K79:M1048576 K77:K78 M77:M78 K1:M76">
    <cfRule type="expression" dxfId="66" priority="28">
      <formula>$L$8="deactive"</formula>
    </cfRule>
  </conditionalFormatting>
  <conditionalFormatting sqref="N79:P1048576 N77:N78 P77:P78 N1:P76">
    <cfRule type="expression" dxfId="65" priority="27">
      <formula>$O$8="deactive"</formula>
    </cfRule>
  </conditionalFormatting>
  <conditionalFormatting sqref="Q79:S1048576 Q77:Q78 S77:S78 Q1:S76">
    <cfRule type="expression" dxfId="64" priority="26">
      <formula>$R$8="deactive"</formula>
    </cfRule>
  </conditionalFormatting>
  <conditionalFormatting sqref="T79:V1048576 T77:T78 V77:V78 T1:V76">
    <cfRule type="expression" dxfId="63" priority="25">
      <formula>$U$8="deactive"</formula>
    </cfRule>
  </conditionalFormatting>
  <conditionalFormatting sqref="W79:Y1048576 W77:W78 Y77:Y78 W1:Y76">
    <cfRule type="expression" dxfId="62" priority="24">
      <formula>$X$8="deactive"</formula>
    </cfRule>
  </conditionalFormatting>
  <conditionalFormatting sqref="Z79:AB1048576 Z77:Z78 AB77:AB78 Z1:AB76">
    <cfRule type="expression" dxfId="61" priority="23">
      <formula>$AA$8="deactive"</formula>
    </cfRule>
  </conditionalFormatting>
  <conditionalFormatting sqref="AC79:AE1048576 AC77:AC78 AE77:AE78 AC1:AE76">
    <cfRule type="expression" dxfId="60" priority="22">
      <formula>$AD$8="deactive"</formula>
    </cfRule>
  </conditionalFormatting>
  <conditionalFormatting sqref="C77:C78">
    <cfRule type="expression" dxfId="59" priority="20">
      <formula>$C$8="deactive"</formula>
    </cfRule>
  </conditionalFormatting>
  <conditionalFormatting sqref="F77">
    <cfRule type="expression" dxfId="58" priority="19">
      <formula>$C$8="deactive"</formula>
    </cfRule>
  </conditionalFormatting>
  <conditionalFormatting sqref="F78">
    <cfRule type="expression" dxfId="57" priority="18">
      <formula>$C$8="deactive"</formula>
    </cfRule>
  </conditionalFormatting>
  <conditionalFormatting sqref="I77">
    <cfRule type="expression" dxfId="56" priority="17">
      <formula>$C$8="deactive"</formula>
    </cfRule>
  </conditionalFormatting>
  <conditionalFormatting sqref="I78">
    <cfRule type="expression" dxfId="55" priority="16">
      <formula>$C$8="deactive"</formula>
    </cfRule>
  </conditionalFormatting>
  <conditionalFormatting sqref="L77">
    <cfRule type="expression" dxfId="54" priority="15">
      <formula>$C$8="deactive"</formula>
    </cfRule>
  </conditionalFormatting>
  <conditionalFormatting sqref="L78">
    <cfRule type="expression" dxfId="53" priority="14">
      <formula>$C$8="deactive"</formula>
    </cfRule>
  </conditionalFormatting>
  <conditionalFormatting sqref="O77">
    <cfRule type="expression" dxfId="52" priority="13">
      <formula>$C$8="deactive"</formula>
    </cfRule>
  </conditionalFormatting>
  <conditionalFormatting sqref="O78">
    <cfRule type="expression" dxfId="51" priority="12">
      <formula>$C$8="deactive"</formula>
    </cfRule>
  </conditionalFormatting>
  <conditionalFormatting sqref="R77">
    <cfRule type="expression" dxfId="50" priority="11">
      <formula>$C$8="deactive"</formula>
    </cfRule>
  </conditionalFormatting>
  <conditionalFormatting sqref="R78">
    <cfRule type="expression" dxfId="49" priority="10">
      <formula>$C$8="deactive"</formula>
    </cfRule>
  </conditionalFormatting>
  <conditionalFormatting sqref="U77">
    <cfRule type="expression" dxfId="48" priority="9">
      <formula>$C$8="deactive"</formula>
    </cfRule>
  </conditionalFormatting>
  <conditionalFormatting sqref="U78">
    <cfRule type="expression" dxfId="47" priority="8">
      <formula>$C$8="deactive"</formula>
    </cfRule>
  </conditionalFormatting>
  <conditionalFormatting sqref="X77">
    <cfRule type="expression" dxfId="46" priority="7">
      <formula>$C$8="deactive"</formula>
    </cfRule>
  </conditionalFormatting>
  <conditionalFormatting sqref="X78">
    <cfRule type="expression" dxfId="45" priority="6">
      <formula>$C$8="deactive"</formula>
    </cfRule>
  </conditionalFormatting>
  <conditionalFormatting sqref="AA77">
    <cfRule type="expression" dxfId="44" priority="5">
      <formula>$C$8="deactive"</formula>
    </cfRule>
  </conditionalFormatting>
  <conditionalFormatting sqref="AA78">
    <cfRule type="expression" dxfId="43" priority="4">
      <formula>$C$8="deactive"</formula>
    </cfRule>
  </conditionalFormatting>
  <conditionalFormatting sqref="AD77">
    <cfRule type="expression" dxfId="42" priority="3">
      <formula>$C$8="deactive"</formula>
    </cfRule>
  </conditionalFormatting>
  <conditionalFormatting sqref="AD78">
    <cfRule type="expression" dxfId="41"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3 F73 I73 L73 O73 R73 U73 X73 AA73 AD73"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2 F72 I72 L72 O72 R72 U72 X72 AA72 AD72"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5 F65 I65 L65 O65 R65 U65 X65 AA65 AD65"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2:AD84 C82:C84 U82:U84 F82:F84 AA82:AA84 I82:I84 R82:R84 L82:L84 X82:X84 O82:O84"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4:D75 AD86:AD89 D79 C80:C81 D85 C86:C89 G74:G75 C75:C76 G79 F80:F81 G85 F86:F89 J74:J75 F75:F76 J79 I80:I81 J85 I86:I89 M74:M75 I75:I76 M79 L80:L81 M85 L86:L89 P74:P75 L75:L76 P79 O80:O81 P85 O86:O89 S74:S75 O75:O76 S79 R80:R81 S85 R86:R89 V74:V75 R75:R76 V79 U80:U81 V85 U86:U89 Y74:Y75 U75:U76 Y79 X80:X81 Y85 X86:X89 AB74:AB75 X75:X76 AB79 AA80:AA81 AB85 AA86:AA89 AE74:AE75 AA75:AA76 AE79 AD80:AD81 AE85 AD75:AD76"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4 F74 I74 L74 O74 R74 U74 X74 AA74 AD74" xr:uid="{00000000-0002-0000-0400-000013000000}"/>
    <dataValidation type="decimal" allowBlank="1" showInputMessage="1" showErrorMessage="1" promptTitle="Target pH when acidified" prompt="Type the target pH for acidification. If acidification technology is not applied this value is ignored" sqref="C67 F67 I67 L67 O67 R67 U67 X67 AA67 AD67" xr:uid="{2A5B6B39-3BED-4B10-84D0-9B9BA5F765D4}">
      <formula1>0</formula1>
      <formula2>100</formula2>
    </dataValidation>
    <dataValidation type="whole" allowBlank="1" showInputMessage="1" showErrorMessage="1" sqref="G49:G60 J47:J60 M47:M60 P47:P60 S47:S60 V47:V60 Y47:Y60 AB47:AB60 AE47:AE60 G47 D47:D60"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3 G83 J83 M83 P83 S83 V83 Y83 AB83 AE83"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5 G41:G42 G65 J41:J42 J65 M41:M42 M65 P41:P42 P65 S41:S42 S65 V41:V42 V65 Y41:Y42 Y65 AB41:AB42 AB65 AE41:AE42 AE65"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7 G67 J67 M67 P67 S67 V67 Y67 AB67 AE67" xr:uid="{5B0EB567-7E3E-4644-8980-7E344419F173}">
      <formula1>0</formula1>
      <formula2>99</formula2>
    </dataValidation>
    <dataValidation type="decimal" allowBlank="1" showInputMessage="1" showErrorMessage="1" sqref="D69 G69 J69 M69 P69 S69 V69 Y69 AB69 AE69" xr:uid="{613D0F64-7720-49AF-9227-26CCB74DA4D3}">
      <formula1>0</formula1>
      <formula2>50</formula2>
    </dataValidation>
    <dataValidation type="decimal" allowBlank="1" showInputMessage="1" showErrorMessage="1" sqref="D70 G70 J70 M70 P70 S70 V70 Y70 AB70 AE70" xr:uid="{5EFFF6B6-88CF-4630-AFF7-F52AB74DEE64}">
      <formula1>0</formula1>
      <formula2>365</formula2>
    </dataValidation>
    <dataValidation type="decimal" allowBlank="1" showInputMessage="1" showErrorMessage="1" sqref="D72 G72 J72 M72 P72 S72 V72 Y72 AB72 AE72" xr:uid="{9A80BB58-E14D-4C29-B4BF-4B86156CA27D}">
      <formula1>0</formula1>
      <formula2>1</formula2>
    </dataValidation>
    <dataValidation type="decimal" allowBlank="1" showInputMessage="1" showErrorMessage="1" sqref="D81 G81 J81 M81 P81 S81 V81 Y81 AB81 AE81" xr:uid="{1ECEE60F-4CDF-4FA4-B2CF-436549EEDDC9}">
      <formula1>20</formula1>
      <formula2>40</formula2>
    </dataValidation>
    <dataValidation type="decimal" allowBlank="1" showInputMessage="1" showErrorMessage="1" sqref="D82 G82 J82 M82 P82 S82 V82 Y82 AB82 AE82" xr:uid="{7F42412F-41E5-4557-A02F-C3D15D4560FD}">
      <formula1>40000</formula1>
      <formula2>120000</formula2>
    </dataValidation>
    <dataValidation type="decimal" allowBlank="1" showInputMessage="1" showErrorMessage="1" sqref="D84 G84 J84 M84 P84 S84 V84 Y84 AB84 AE84" xr:uid="{D5C80A5F-00D1-4B91-B52C-EFAFCD27CF2B}">
      <formula1>1</formula1>
      <formula2>20</formula2>
    </dataValidation>
    <dataValidation type="decimal" allowBlank="1" showInputMessage="1" showErrorMessage="1" sqref="D87 G87 J87 M87 P87 S87 V87 Y87 AB87 AE87" xr:uid="{80E3D02D-BC1C-4DD3-A363-1F4A4E9DD016}">
      <formula1>30</formula1>
      <formula2>110</formula2>
    </dataValidation>
    <dataValidation type="decimal" allowBlank="1" showInputMessage="1" showErrorMessage="1" sqref="D88 G88 J88 M88 P88 S88 V88 Y88 AB88 AE88"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5">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AC48:AC60 E48:E60 H48:H60 K48:K60 N48:N60 Q48:Q60 T48:T60 W48:W60 Z48:Z60</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D64 G64 J64 M64 P64 S64 V64 Y64 AB64 AE64</xm:sqref>
        </x14:dataValidation>
        <x14:dataValidation type="list" allowBlank="1" showInputMessage="1" showErrorMessage="1" xr:uid="{1ACB6835-AF4D-4B79-ABFD-FB2ACB5323E7}">
          <x14:formula1>
            <xm:f>parms_list!$Q$2:$Q$3</xm:f>
          </x14:formula1>
          <xm:sqref>D66 G66 J66 M66 P66 S66 V66 Y66 AB66 AE66</xm:sqref>
        </x14:dataValidation>
        <x14:dataValidation type="list" allowBlank="1" showInputMessage="1" showErrorMessage="1" xr:uid="{BF087E1B-5B49-4F50-A7FE-1BAB778A4539}">
          <x14:formula1>
            <xm:f>parms_list!$H$2:$H$3</xm:f>
          </x14:formula1>
          <xm:sqref>D68 G68 J68 M68 P68 S68 V68 Y68 AB68 AE68</xm:sqref>
        </x14:dataValidation>
        <x14:dataValidation type="list" allowBlank="1" showInputMessage="1" showErrorMessage="1" xr:uid="{67F50BE8-AB6B-47FB-B8D1-E7E0A6919B86}">
          <x14:formula1>
            <xm:f>parms_list!$N$2:$N$3</xm:f>
          </x14:formula1>
          <xm:sqref>D71 G71 J71 M71 P71 S71 V71 Y71 AB71 AE71</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52" zoomScale="70" zoomScaleNormal="70" workbookViewId="0">
      <selection activeCell="D20" sqref="D20"/>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810</v>
      </c>
      <c r="B6" s="31" t="str">
        <f>B1</f>
        <v>Storage 1</v>
      </c>
      <c r="C6" s="31" t="str">
        <f>C1</f>
        <v>Value 1</v>
      </c>
      <c r="D6" s="31" t="s">
        <v>164</v>
      </c>
      <c r="E6" s="31" t="str">
        <f>E1</f>
        <v>Storage 2</v>
      </c>
      <c r="F6" s="31" t="str">
        <f>F1</f>
        <v>Value 2</v>
      </c>
      <c r="G6" s="31" t="s">
        <v>164</v>
      </c>
      <c r="H6" s="31" t="str">
        <f>H1</f>
        <v>Storage 3</v>
      </c>
      <c r="I6" s="31" t="str">
        <f>I1</f>
        <v>Value 3</v>
      </c>
      <c r="J6" s="31" t="s">
        <v>164</v>
      </c>
      <c r="K6" s="31" t="str">
        <f>K1</f>
        <v>Storage 4</v>
      </c>
      <c r="L6" s="31" t="str">
        <f>L1</f>
        <v>Value 4</v>
      </c>
      <c r="M6" s="31" t="s">
        <v>164</v>
      </c>
      <c r="N6" s="31" t="str">
        <f>N1</f>
        <v>Storage 5</v>
      </c>
      <c r="O6" s="31" t="str">
        <f>O1</f>
        <v>Value 5</v>
      </c>
      <c r="P6" s="31" t="s">
        <v>164</v>
      </c>
      <c r="Q6" s="31" t="str">
        <f>Q1</f>
        <v>Storage 6</v>
      </c>
      <c r="R6" s="31" t="str">
        <f>R1</f>
        <v>Value 6</v>
      </c>
      <c r="S6" s="31" t="s">
        <v>164</v>
      </c>
      <c r="T6" s="31" t="str">
        <f>T1</f>
        <v>Storage 7</v>
      </c>
      <c r="U6" s="31" t="str">
        <f>U1</f>
        <v>Value 7</v>
      </c>
      <c r="V6" s="31" t="s">
        <v>164</v>
      </c>
      <c r="W6" s="31" t="str">
        <f>W1</f>
        <v>Storage 8</v>
      </c>
      <c r="X6" s="31" t="str">
        <f>X1</f>
        <v>Value 8</v>
      </c>
      <c r="Y6" s="31" t="s">
        <v>164</v>
      </c>
      <c r="Z6" s="31" t="str">
        <f>Z1</f>
        <v>Storage 9</v>
      </c>
      <c r="AA6" s="31" t="str">
        <f>AA1</f>
        <v>Value 9</v>
      </c>
      <c r="AB6" s="31" t="s">
        <v>164</v>
      </c>
      <c r="AC6" s="31" t="str">
        <f>AC1</f>
        <v>Storage 10</v>
      </c>
      <c r="AD6" s="31" t="str">
        <f>AD1</f>
        <v>Value 10</v>
      </c>
      <c r="AE6" s="31" t="s">
        <v>164</v>
      </c>
    </row>
    <row r="7" spans="1:186" ht="15" customHeight="1" x14ac:dyDescent="0.25">
      <c r="A7" s="70">
        <v>1</v>
      </c>
    </row>
    <row r="8" spans="1:186" x14ac:dyDescent="0.25">
      <c r="B8" s="24" t="s">
        <v>808</v>
      </c>
      <c r="C8" s="25" t="str">
        <f>IF($A$7 &gt;=(COLUMNS($B:C)+1)/3,"active","deactive")</f>
        <v>active</v>
      </c>
      <c r="D8" s="62"/>
      <c r="E8" s="24" t="s">
        <v>808</v>
      </c>
      <c r="F8" s="25" t="str">
        <f>IF($A$7 &gt;=(COLUMNS($B:F)+1)/3,"active","deactive")</f>
        <v>deactive</v>
      </c>
      <c r="G8" s="62"/>
      <c r="H8" s="24" t="s">
        <v>808</v>
      </c>
      <c r="I8" s="25" t="str">
        <f>IF($A$7 &gt;=(COLUMNS($B:I)+1)/3,"active","deactive")</f>
        <v>deactive</v>
      </c>
      <c r="J8" s="62"/>
      <c r="K8" s="24" t="s">
        <v>808</v>
      </c>
      <c r="L8" s="25" t="str">
        <f>IF($A$7 &gt;=(COLUMNS($B:L)+1)/3,"active","deactive")</f>
        <v>deactive</v>
      </c>
      <c r="M8" s="62"/>
      <c r="N8" s="24" t="s">
        <v>808</v>
      </c>
      <c r="O8" s="25" t="str">
        <f>IF($A$7 &gt;=(COLUMNS($B:O)+1)/3,"active","deactive")</f>
        <v>deactive</v>
      </c>
      <c r="P8" s="62"/>
      <c r="Q8" s="24" t="s">
        <v>808</v>
      </c>
      <c r="R8" s="25" t="str">
        <f>IF($A$7 &gt;=(COLUMNS($B:R)+1)/3,"active","deactive")</f>
        <v>deactive</v>
      </c>
      <c r="S8" s="62"/>
      <c r="T8" s="24" t="s">
        <v>808</v>
      </c>
      <c r="U8" s="25" t="str">
        <f>IF($A$7 &gt;=(COLUMNS($B:U)+1)/3,"active","deactive")</f>
        <v>deactive</v>
      </c>
      <c r="V8" s="62"/>
      <c r="W8" s="24" t="s">
        <v>808</v>
      </c>
      <c r="X8" s="25" t="str">
        <f>IF($A$7 &gt;=(COLUMNS($B:X)+1)/3,"active","deactive")</f>
        <v>deactive</v>
      </c>
      <c r="Y8" s="62"/>
      <c r="Z8" s="24" t="s">
        <v>808</v>
      </c>
      <c r="AA8" s="25" t="str">
        <f>IF($A$7 &gt;=(COLUMNS($B:AA)+1)/3,"active","deactive")</f>
        <v>deactive</v>
      </c>
      <c r="AB8" s="62"/>
      <c r="AC8" s="24" t="s">
        <v>808</v>
      </c>
      <c r="AD8" s="25" t="str">
        <f>IF($A$7 &gt;=(COLUMNS($B:AD)+1)/3,"active","deactive")</f>
        <v>deactive</v>
      </c>
      <c r="AE8" s="62"/>
    </row>
    <row r="9" spans="1:186" x14ac:dyDescent="0.25">
      <c r="B9" s="10" t="s">
        <v>199</v>
      </c>
      <c r="C9" s="25">
        <f>IF(COUNT(D9)=1,D9,4)</f>
        <v>5</v>
      </c>
      <c r="D9" s="60">
        <v>5</v>
      </c>
      <c r="E9" s="10" t="s">
        <v>199</v>
      </c>
      <c r="F9" s="25">
        <f>IF(COUNT(G9)=1,G9,4)</f>
        <v>5</v>
      </c>
      <c r="G9" s="60">
        <v>5</v>
      </c>
      <c r="H9" s="10" t="s">
        <v>199</v>
      </c>
      <c r="I9" s="25">
        <f>IF(COUNT(J9)=1,J9,4)</f>
        <v>5</v>
      </c>
      <c r="J9" s="60">
        <v>5</v>
      </c>
      <c r="K9" s="10" t="s">
        <v>199</v>
      </c>
      <c r="L9" s="25">
        <f>IF(COUNT(M9)=1,M9,4)</f>
        <v>5</v>
      </c>
      <c r="M9" s="60">
        <v>5</v>
      </c>
      <c r="N9" s="10" t="s">
        <v>199</v>
      </c>
      <c r="O9" s="25">
        <f>IF(COUNT(P9)=1,P9,4)</f>
        <v>5</v>
      </c>
      <c r="P9" s="60">
        <v>5</v>
      </c>
      <c r="Q9" s="10" t="s">
        <v>199</v>
      </c>
      <c r="R9" s="25">
        <f>IF(COUNT(S9)=1,S9,4)</f>
        <v>5</v>
      </c>
      <c r="S9" s="60">
        <v>5</v>
      </c>
      <c r="T9" s="10" t="s">
        <v>199</v>
      </c>
      <c r="U9" s="25">
        <f>IF(COUNT(V9)=1,V9,4)</f>
        <v>5</v>
      </c>
      <c r="V9" s="60">
        <v>5</v>
      </c>
      <c r="W9" s="10" t="s">
        <v>199</v>
      </c>
      <c r="X9" s="25">
        <f>IF(COUNT(Y9)=1,Y9,4)</f>
        <v>5</v>
      </c>
      <c r="Y9" s="60">
        <v>5</v>
      </c>
      <c r="Z9" s="10" t="s">
        <v>199</v>
      </c>
      <c r="AA9" s="25">
        <f>IF(COUNT(AB9)=1,AB9,4)</f>
        <v>5</v>
      </c>
      <c r="AB9" s="60">
        <v>5</v>
      </c>
      <c r="AC9" s="10" t="s">
        <v>199</v>
      </c>
      <c r="AD9" s="25">
        <f>IF(COUNT(AE9)=1,AE9,4)</f>
        <v>5</v>
      </c>
      <c r="AE9" s="60">
        <v>5</v>
      </c>
    </row>
    <row r="10" spans="1:186" x14ac:dyDescent="0.25">
      <c r="B10" s="10" t="s">
        <v>200</v>
      </c>
      <c r="C10" s="25">
        <f>IF(COUNT(D10)=1,D10,36)</f>
        <v>36</v>
      </c>
      <c r="D10" s="60"/>
      <c r="E10" s="10" t="s">
        <v>200</v>
      </c>
      <c r="F10" s="25">
        <f>IF(COUNT(G10)=1,G10,36)</f>
        <v>36</v>
      </c>
      <c r="G10" s="60"/>
      <c r="H10" s="10" t="s">
        <v>200</v>
      </c>
      <c r="I10" s="25">
        <f>IF(COUNT(J10)=1,J10,36)</f>
        <v>36</v>
      </c>
      <c r="J10" s="60"/>
      <c r="K10" s="10" t="s">
        <v>200</v>
      </c>
      <c r="L10" s="25">
        <f>IF(COUNT(M10)=1,M10,36)</f>
        <v>36</v>
      </c>
      <c r="M10" s="60"/>
      <c r="N10" s="10" t="s">
        <v>200</v>
      </c>
      <c r="O10" s="25">
        <f>IF(COUNT(P10)=1,P10,36)</f>
        <v>36</v>
      </c>
      <c r="P10" s="60"/>
      <c r="Q10" s="10" t="s">
        <v>200</v>
      </c>
      <c r="R10" s="25">
        <f>IF(COUNT(S10)=1,S10,36)</f>
        <v>36</v>
      </c>
      <c r="S10" s="60"/>
      <c r="T10" s="10" t="s">
        <v>200</v>
      </c>
      <c r="U10" s="25">
        <f>IF(COUNT(V10)=1,V10,36)</f>
        <v>36</v>
      </c>
      <c r="V10" s="60"/>
      <c r="W10" s="10" t="s">
        <v>200</v>
      </c>
      <c r="X10" s="25">
        <f>IF(COUNT(Y10)=1,Y10,36)</f>
        <v>36</v>
      </c>
      <c r="Y10" s="60"/>
      <c r="Z10" s="10" t="s">
        <v>200</v>
      </c>
      <c r="AA10" s="25">
        <f>IF(COUNT(AB10)=1,AB10,36)</f>
        <v>36</v>
      </c>
      <c r="AB10" s="60"/>
      <c r="AC10" s="10" t="s">
        <v>200</v>
      </c>
      <c r="AD10" s="25">
        <f>IF(COUNT(AE10)=1,AE10,36)</f>
        <v>36</v>
      </c>
      <c r="AE10" s="60"/>
    </row>
    <row r="11" spans="1:186" ht="16.5" customHeight="1" x14ac:dyDescent="0.25">
      <c r="B11" s="10" t="s">
        <v>201</v>
      </c>
      <c r="C11" s="25">
        <f>PI()*(C10/2)^2*C9</f>
        <v>5089.3800988154644</v>
      </c>
      <c r="D11" s="63"/>
      <c r="E11" s="10" t="s">
        <v>201</v>
      </c>
      <c r="F11" s="25">
        <f>PI()*(F10/2)^2*F9</f>
        <v>5089.3800988154644</v>
      </c>
      <c r="G11" s="63"/>
      <c r="H11" s="10" t="s">
        <v>201</v>
      </c>
      <c r="I11" s="25">
        <f>PI()*(I10/2)^2*I9</f>
        <v>5089.3800988154644</v>
      </c>
      <c r="J11" s="63"/>
      <c r="K11" s="10" t="s">
        <v>201</v>
      </c>
      <c r="L11" s="25">
        <f>PI()*(L10/2)^2*L9</f>
        <v>5089.3800988154644</v>
      </c>
      <c r="M11" s="63"/>
      <c r="N11" s="10" t="s">
        <v>201</v>
      </c>
      <c r="O11" s="25">
        <f>PI()*(O10/2)^2*O9</f>
        <v>5089.3800988154644</v>
      </c>
      <c r="P11" s="63"/>
      <c r="Q11" s="10" t="s">
        <v>201</v>
      </c>
      <c r="R11" s="25">
        <f>PI()*(R10/2)^2*R9</f>
        <v>5089.3800988154644</v>
      </c>
      <c r="S11" s="63"/>
      <c r="T11" s="10" t="s">
        <v>201</v>
      </c>
      <c r="U11" s="25">
        <f>PI()*(U10/2)^2*U9</f>
        <v>5089.3800988154644</v>
      </c>
      <c r="V11" s="63"/>
      <c r="W11" s="10" t="s">
        <v>201</v>
      </c>
      <c r="X11" s="25">
        <f>PI()*(X10/2)^2*X9</f>
        <v>5089.3800988154644</v>
      </c>
      <c r="Y11" s="63"/>
      <c r="Z11" s="10" t="s">
        <v>201</v>
      </c>
      <c r="AA11" s="25">
        <f>PI()*(AA10/2)^2*AA9</f>
        <v>5089.3800988154644</v>
      </c>
      <c r="AB11" s="63"/>
      <c r="AC11" s="10" t="s">
        <v>201</v>
      </c>
      <c r="AD11" s="25">
        <f>PI()*(AD10/2)^2*AD9</f>
        <v>5089.3800988154644</v>
      </c>
      <c r="AE11" s="63"/>
    </row>
    <row r="12" spans="1:186" x14ac:dyDescent="0.25">
      <c r="B12" s="10" t="s">
        <v>197</v>
      </c>
      <c r="C12" s="25">
        <f>IF(COUNT(D12)=1,D12,_xlfn.CEILING.MATH(COLUMNS($B1:C1)/3))</f>
        <v>1</v>
      </c>
      <c r="D12" s="60"/>
      <c r="E12" s="10" t="s">
        <v>197</v>
      </c>
      <c r="F12" s="25">
        <f>IF(COUNT(G12)=1,G12,_xlfn.CEILING.MATH(COLUMNS($B1:F1)/3))</f>
        <v>2</v>
      </c>
      <c r="G12" s="60"/>
      <c r="H12" s="10" t="s">
        <v>197</v>
      </c>
      <c r="I12" s="25">
        <f>IF(COUNT(J12)=1,J12,_xlfn.CEILING.MATH(COLUMNS($B1:I1)/3))</f>
        <v>3</v>
      </c>
      <c r="J12" s="60"/>
      <c r="K12" s="10" t="s">
        <v>197</v>
      </c>
      <c r="L12" s="25">
        <f>IF(COUNT(M12)=1,M12,_xlfn.CEILING.MATH(COLUMNS($B1:L1)/3))</f>
        <v>4</v>
      </c>
      <c r="M12" s="60"/>
      <c r="N12" s="10" t="s">
        <v>197</v>
      </c>
      <c r="O12" s="25">
        <f>IF(COUNT(P12)=1,P12,_xlfn.CEILING.MATH(COLUMNS($B1:O1)/3))</f>
        <v>5</v>
      </c>
      <c r="P12" s="60"/>
      <c r="Q12" s="10" t="s">
        <v>197</v>
      </c>
      <c r="R12" s="25">
        <f>IF(COUNT(S12)=1,S12,_xlfn.CEILING.MATH(COLUMNS($B1:R1)/3))</f>
        <v>6</v>
      </c>
      <c r="S12" s="60"/>
      <c r="T12" s="10" t="s">
        <v>197</v>
      </c>
      <c r="U12" s="25">
        <f>IF(COUNT(V12)=1,V12,_xlfn.CEILING.MATH(COLUMNS($B1:U1)/3))</f>
        <v>7</v>
      </c>
      <c r="V12" s="60"/>
      <c r="W12" s="10" t="s">
        <v>197</v>
      </c>
      <c r="X12" s="25">
        <f>IF(COUNT(Y12)=1,Y12,_xlfn.CEILING.MATH(COLUMNS($B1:X1)/3))</f>
        <v>8</v>
      </c>
      <c r="Y12" s="60"/>
      <c r="Z12" s="10" t="s">
        <v>197</v>
      </c>
      <c r="AA12" s="25">
        <f>IF(COUNT(AB12)=1,AB12,_xlfn.CEILING.MATH(COLUMNS($B1:AA1)/3))</f>
        <v>9</v>
      </c>
      <c r="AB12" s="60"/>
      <c r="AC12" s="10" t="s">
        <v>197</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202</v>
      </c>
      <c r="C14" s="25">
        <f>IF(COUNT(D14)=1,D14,4)</f>
        <v>5</v>
      </c>
      <c r="D14" s="60">
        <v>5</v>
      </c>
      <c r="E14" s="10" t="s">
        <v>202</v>
      </c>
      <c r="F14" s="25">
        <f>IF(COUNT(G14)=1,G14,4)</f>
        <v>5</v>
      </c>
      <c r="G14" s="60">
        <v>5</v>
      </c>
      <c r="H14" s="10" t="s">
        <v>202</v>
      </c>
      <c r="I14" s="25">
        <f>IF(COUNT(J14)=1,J14,4)</f>
        <v>5</v>
      </c>
      <c r="J14" s="60">
        <v>5</v>
      </c>
      <c r="K14" s="10" t="s">
        <v>202</v>
      </c>
      <c r="L14" s="25">
        <f>IF(COUNT(M14)=1,M14,4)</f>
        <v>5</v>
      </c>
      <c r="M14" s="60">
        <v>5</v>
      </c>
      <c r="N14" s="10" t="s">
        <v>202</v>
      </c>
      <c r="O14" s="25">
        <f>IF(COUNT(P14)=1,P14,4)</f>
        <v>5</v>
      </c>
      <c r="P14" s="60">
        <v>5</v>
      </c>
      <c r="Q14" s="10" t="s">
        <v>202</v>
      </c>
      <c r="R14" s="25">
        <f>IF(COUNT(S14)=1,S14,4)</f>
        <v>5</v>
      </c>
      <c r="S14" s="60">
        <v>5</v>
      </c>
      <c r="T14" s="10" t="s">
        <v>202</v>
      </c>
      <c r="U14" s="25">
        <f>IF(COUNT(V14)=1,V14,4)</f>
        <v>5</v>
      </c>
      <c r="V14" s="60">
        <v>5</v>
      </c>
      <c r="W14" s="10" t="s">
        <v>202</v>
      </c>
      <c r="X14" s="25">
        <f>IF(COUNT(Y14)=1,Y14,4)</f>
        <v>5</v>
      </c>
      <c r="Y14" s="60">
        <v>5</v>
      </c>
      <c r="Z14" s="10" t="s">
        <v>202</v>
      </c>
      <c r="AA14" s="25">
        <f>IF(COUNT(AB14)=1,AB14,4)</f>
        <v>5</v>
      </c>
      <c r="AB14" s="60">
        <v>5</v>
      </c>
      <c r="AC14" s="10" t="s">
        <v>202</v>
      </c>
      <c r="AD14" s="25">
        <f>IF(COUNT(AE14)=1,AE14,4)</f>
        <v>5</v>
      </c>
      <c r="AE14" s="60">
        <v>5</v>
      </c>
    </row>
    <row r="15" spans="1:186" x14ac:dyDescent="0.25">
      <c r="B15" s="10" t="s">
        <v>203</v>
      </c>
      <c r="C15" s="25">
        <f>IF(COUNT(D15)=1,D15,36)</f>
        <v>36</v>
      </c>
      <c r="D15" s="60"/>
      <c r="E15" s="10" t="s">
        <v>203</v>
      </c>
      <c r="F15" s="25">
        <f>IF(COUNT(G15)=1,G15,36)</f>
        <v>36</v>
      </c>
      <c r="G15" s="60"/>
      <c r="H15" s="10" t="s">
        <v>203</v>
      </c>
      <c r="I15" s="25">
        <f>IF(COUNT(J15)=1,J15,36)</f>
        <v>36</v>
      </c>
      <c r="J15" s="60"/>
      <c r="K15" s="10" t="s">
        <v>203</v>
      </c>
      <c r="L15" s="25">
        <f>IF(COUNT(M15)=1,M15,36)</f>
        <v>36</v>
      </c>
      <c r="M15" s="60"/>
      <c r="N15" s="10" t="s">
        <v>203</v>
      </c>
      <c r="O15" s="25">
        <f>IF(COUNT(P15)=1,P15,36)</f>
        <v>36</v>
      </c>
      <c r="P15" s="60"/>
      <c r="Q15" s="10" t="s">
        <v>203</v>
      </c>
      <c r="R15" s="25">
        <f>IF(COUNT(S15)=1,S15,36)</f>
        <v>36</v>
      </c>
      <c r="S15" s="60"/>
      <c r="T15" s="10" t="s">
        <v>203</v>
      </c>
      <c r="U15" s="25">
        <f>IF(COUNT(V15)=1,V15,36)</f>
        <v>36</v>
      </c>
      <c r="V15" s="60"/>
      <c r="W15" s="10" t="s">
        <v>203</v>
      </c>
      <c r="X15" s="25">
        <f>IF(COUNT(Y15)=1,Y15,36)</f>
        <v>36</v>
      </c>
      <c r="Y15" s="60"/>
      <c r="Z15" s="10" t="s">
        <v>203</v>
      </c>
      <c r="AA15" s="25">
        <f>IF(COUNT(AB15)=1,AB15,36)</f>
        <v>36</v>
      </c>
      <c r="AB15" s="60"/>
      <c r="AC15" s="10" t="s">
        <v>203</v>
      </c>
      <c r="AD15" s="25">
        <f>IF(COUNT(AE15)=1,AE15,36)</f>
        <v>36</v>
      </c>
      <c r="AE15" s="60"/>
    </row>
    <row r="16" spans="1:186" ht="15" customHeight="1" x14ac:dyDescent="0.25">
      <c r="B16" s="10" t="s">
        <v>204</v>
      </c>
      <c r="C16" s="25">
        <f>PI()*(C15/2)^2*C14</f>
        <v>5089.3800988154644</v>
      </c>
      <c r="D16" s="63"/>
      <c r="E16" s="10" t="s">
        <v>204</v>
      </c>
      <c r="F16" s="25">
        <f>PI()*(F15/2)^2*F14</f>
        <v>5089.3800988154644</v>
      </c>
      <c r="G16" s="63"/>
      <c r="H16" s="10" t="s">
        <v>204</v>
      </c>
      <c r="I16" s="25">
        <f>PI()*(I15/2)^2*I14</f>
        <v>5089.3800988154644</v>
      </c>
      <c r="J16" s="63"/>
      <c r="K16" s="10" t="s">
        <v>204</v>
      </c>
      <c r="L16" s="25">
        <f>PI()*(L15/2)^2*L14</f>
        <v>5089.3800988154644</v>
      </c>
      <c r="M16" s="63"/>
      <c r="N16" s="10" t="s">
        <v>204</v>
      </c>
      <c r="O16" s="25">
        <f>PI()*(O15/2)^2*O14</f>
        <v>5089.3800988154644</v>
      </c>
      <c r="P16" s="63"/>
      <c r="Q16" s="10" t="s">
        <v>204</v>
      </c>
      <c r="R16" s="25">
        <f>PI()*(R15/2)^2*R14</f>
        <v>5089.3800988154644</v>
      </c>
      <c r="S16" s="63"/>
      <c r="T16" s="10" t="s">
        <v>204</v>
      </c>
      <c r="U16" s="25">
        <f>PI()*(U15/2)^2*U14</f>
        <v>5089.3800988154644</v>
      </c>
      <c r="V16" s="63"/>
      <c r="W16" s="10" t="s">
        <v>204</v>
      </c>
      <c r="X16" s="25">
        <f>PI()*(X15/2)^2*X14</f>
        <v>5089.3800988154644</v>
      </c>
      <c r="Y16" s="63"/>
      <c r="Z16" s="10" t="s">
        <v>204</v>
      </c>
      <c r="AA16" s="25">
        <f>PI()*(AA15/2)^2*AA14</f>
        <v>5089.3800988154644</v>
      </c>
      <c r="AB16" s="63"/>
      <c r="AC16" s="10" t="s">
        <v>204</v>
      </c>
      <c r="AD16" s="25">
        <f>PI()*(AD15/2)^2*AD14</f>
        <v>5089.3800988154644</v>
      </c>
      <c r="AE16" s="63"/>
    </row>
    <row r="17" spans="2:31" ht="15" customHeight="1" x14ac:dyDescent="0.25">
      <c r="B17" s="10" t="s">
        <v>196</v>
      </c>
      <c r="C17" s="25">
        <f>IF(COUNT(D17)=1,D17,_xlfn.CEILING.MATH(COLUMNS($B1:C1)/3))</f>
        <v>1</v>
      </c>
      <c r="D17" s="61"/>
      <c r="E17" s="10" t="s">
        <v>196</v>
      </c>
      <c r="F17" s="25">
        <f>IF(COUNT(G17)=1,G17,_xlfn.CEILING.MATH(COLUMNS($B1:F1)/3))</f>
        <v>2</v>
      </c>
      <c r="G17" s="61"/>
      <c r="H17" s="10" t="s">
        <v>196</v>
      </c>
      <c r="I17" s="25">
        <f>IF(COUNT(J17)=1,J17,_xlfn.CEILING.MATH(COLUMNS($B1:I1)/3))</f>
        <v>3</v>
      </c>
      <c r="J17" s="61"/>
      <c r="K17" s="10" t="s">
        <v>196</v>
      </c>
      <c r="L17" s="25">
        <f>IF(COUNT(M17)=1,M17,_xlfn.CEILING.MATH(COLUMNS($B1:L1)/3))</f>
        <v>4</v>
      </c>
      <c r="M17" s="61"/>
      <c r="N17" s="10" t="s">
        <v>196</v>
      </c>
      <c r="O17" s="25">
        <f>IF(COUNT(P17)=1,P17,_xlfn.CEILING.MATH(COLUMNS($B1:O1)/3))</f>
        <v>5</v>
      </c>
      <c r="P17" s="61"/>
      <c r="Q17" s="10" t="s">
        <v>196</v>
      </c>
      <c r="R17" s="25">
        <f>IF(COUNT(S17)=1,S17,_xlfn.CEILING.MATH(COLUMNS($B1:R1)/3))</f>
        <v>6</v>
      </c>
      <c r="S17" s="61"/>
      <c r="T17" s="10" t="s">
        <v>196</v>
      </c>
      <c r="U17" s="25">
        <f>IF(COUNT(V17)=1,V17,_xlfn.CEILING.MATH(COLUMNS($B1:U1)/3))</f>
        <v>7</v>
      </c>
      <c r="V17" s="61"/>
      <c r="W17" s="10" t="s">
        <v>196</v>
      </c>
      <c r="X17" s="25">
        <f>IF(COUNT(Y17)=1,Y17,_xlfn.CEILING.MATH(COLUMNS($B1:X1)/3))</f>
        <v>8</v>
      </c>
      <c r="Y17" s="61"/>
      <c r="Z17" s="10" t="s">
        <v>196</v>
      </c>
      <c r="AA17" s="25">
        <f>IF(COUNT(AB17)=1,AB17,_xlfn.CEILING.MATH(COLUMNS($B1:AA1)/3))</f>
        <v>9</v>
      </c>
      <c r="AB17" s="61"/>
      <c r="AC17" s="10" t="s">
        <v>196</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184</v>
      </c>
      <c r="C19" s="25"/>
      <c r="D19" s="62"/>
      <c r="E19" s="24" t="s">
        <v>184</v>
      </c>
      <c r="F19" s="25"/>
      <c r="G19" s="62"/>
      <c r="H19" s="24" t="s">
        <v>184</v>
      </c>
      <c r="I19" s="25"/>
      <c r="J19" s="62"/>
      <c r="K19" s="24" t="s">
        <v>184</v>
      </c>
      <c r="L19" s="25"/>
      <c r="M19" s="62"/>
      <c r="N19" s="24" t="s">
        <v>184</v>
      </c>
      <c r="O19" s="25"/>
      <c r="P19" s="62"/>
      <c r="Q19" s="24" t="s">
        <v>184</v>
      </c>
      <c r="R19" s="25"/>
      <c r="S19" s="62"/>
      <c r="T19" s="24" t="s">
        <v>184</v>
      </c>
      <c r="U19" s="25"/>
      <c r="V19" s="62"/>
      <c r="W19" s="24" t="s">
        <v>184</v>
      </c>
      <c r="X19" s="25"/>
      <c r="Y19" s="62"/>
      <c r="Z19" s="24" t="s">
        <v>184</v>
      </c>
      <c r="AA19" s="25"/>
      <c r="AB19" s="62"/>
      <c r="AC19" s="24" t="s">
        <v>184</v>
      </c>
      <c r="AD19" s="25"/>
      <c r="AE19" s="62"/>
    </row>
    <row r="20" spans="2:31" x14ac:dyDescent="0.25">
      <c r="B20" s="10" t="s">
        <v>205</v>
      </c>
      <c r="C20" s="36" t="str">
        <f>IF(ISBLANK(D20), "tent", D20)</f>
        <v>tent</v>
      </c>
      <c r="D20" s="63" t="s">
        <v>206</v>
      </c>
      <c r="E20" s="10" t="s">
        <v>205</v>
      </c>
      <c r="F20" s="36" t="str">
        <f>IF(ISBLANK(G20), "tent", G20)</f>
        <v>tent</v>
      </c>
      <c r="G20" s="63" t="s">
        <v>206</v>
      </c>
      <c r="H20" s="10" t="s">
        <v>205</v>
      </c>
      <c r="I20" s="36" t="str">
        <f>IF(ISBLANK(J20), "tent", J20)</f>
        <v>tent</v>
      </c>
      <c r="J20" s="63" t="s">
        <v>206</v>
      </c>
      <c r="K20" s="10" t="s">
        <v>205</v>
      </c>
      <c r="L20" s="36" t="str">
        <f>IF(ISBLANK(M20), "tent", M20)</f>
        <v>tent</v>
      </c>
      <c r="M20" s="63" t="s">
        <v>206</v>
      </c>
      <c r="N20" s="10" t="s">
        <v>205</v>
      </c>
      <c r="O20" s="36" t="str">
        <f>IF(ISBLANK(P20), "tent", P20)</f>
        <v>tent</v>
      </c>
      <c r="P20" s="63" t="s">
        <v>206</v>
      </c>
      <c r="Q20" s="10" t="s">
        <v>205</v>
      </c>
      <c r="R20" s="36" t="str">
        <f>IF(ISBLANK(S20), "tent", S20)</f>
        <v>tent</v>
      </c>
      <c r="S20" s="63" t="s">
        <v>206</v>
      </c>
      <c r="T20" s="10" t="s">
        <v>205</v>
      </c>
      <c r="U20" s="36" t="str">
        <f>IF(ISBLANK(V20), "tent", V20)</f>
        <v>tent</v>
      </c>
      <c r="V20" s="63" t="s">
        <v>206</v>
      </c>
      <c r="W20" s="10" t="s">
        <v>205</v>
      </c>
      <c r="X20" s="36" t="str">
        <f>IF(ISBLANK(Y20), "tent", Y20)</f>
        <v>tent</v>
      </c>
      <c r="Y20" s="63" t="s">
        <v>206</v>
      </c>
      <c r="Z20" s="10" t="s">
        <v>205</v>
      </c>
      <c r="AA20" s="36" t="str">
        <f>IF(ISBLANK(AB20), "tent", AB20)</f>
        <v>tent</v>
      </c>
      <c r="AB20" s="63" t="s">
        <v>206</v>
      </c>
      <c r="AC20" s="10" t="s">
        <v>205</v>
      </c>
      <c r="AD20" s="36" t="str">
        <f>IF(ISBLANK(AE20), "tent", AE20)</f>
        <v>tent</v>
      </c>
      <c r="AE20" s="63" t="s">
        <v>206</v>
      </c>
    </row>
    <row r="21" spans="2:31" x14ac:dyDescent="0.25">
      <c r="B21" s="27" t="s">
        <v>207</v>
      </c>
      <c r="C21" s="36" t="str">
        <f>IF(ISBLANK(D21), "none", D21)</f>
        <v>none</v>
      </c>
      <c r="D21" s="63" t="s">
        <v>186</v>
      </c>
      <c r="E21" s="27" t="s">
        <v>207</v>
      </c>
      <c r="F21" s="36" t="str">
        <f>IF(ISBLANK(G21), "none", G21)</f>
        <v>none</v>
      </c>
      <c r="G21" s="63" t="s">
        <v>186</v>
      </c>
      <c r="H21" s="27" t="s">
        <v>207</v>
      </c>
      <c r="I21" s="36" t="str">
        <f>IF(ISBLANK(J21), "none", J21)</f>
        <v>none</v>
      </c>
      <c r="J21" s="63" t="s">
        <v>186</v>
      </c>
      <c r="K21" s="27" t="s">
        <v>207</v>
      </c>
      <c r="L21" s="36" t="str">
        <f>IF(ISBLANK(M21), "none", M21)</f>
        <v>none</v>
      </c>
      <c r="M21" s="63" t="s">
        <v>186</v>
      </c>
      <c r="N21" s="27" t="s">
        <v>207</v>
      </c>
      <c r="O21" s="36" t="str">
        <f>IF(ISBLANK(P21), "none", P21)</f>
        <v>none</v>
      </c>
      <c r="P21" s="63" t="s">
        <v>186</v>
      </c>
      <c r="Q21" s="27" t="s">
        <v>207</v>
      </c>
      <c r="R21" s="36" t="str">
        <f>IF(ISBLANK(S21), "none", S21)</f>
        <v>none</v>
      </c>
      <c r="S21" s="63" t="s">
        <v>186</v>
      </c>
      <c r="T21" s="27" t="s">
        <v>207</v>
      </c>
      <c r="U21" s="36" t="str">
        <f>IF(ISBLANK(V21), "none", V21)</f>
        <v>none</v>
      </c>
      <c r="V21" s="63" t="s">
        <v>186</v>
      </c>
      <c r="W21" s="27" t="s">
        <v>207</v>
      </c>
      <c r="X21" s="36" t="str">
        <f>IF(ISBLANK(Y21), "none", Y21)</f>
        <v>none</v>
      </c>
      <c r="Y21" s="63" t="s">
        <v>186</v>
      </c>
      <c r="Z21" s="27" t="s">
        <v>207</v>
      </c>
      <c r="AA21" s="36" t="str">
        <f>IF(ISBLANK(AB21), "none", AB21)</f>
        <v>none</v>
      </c>
      <c r="AB21" s="63" t="s">
        <v>186</v>
      </c>
      <c r="AC21" s="27" t="s">
        <v>207</v>
      </c>
      <c r="AD21" s="36" t="str">
        <f>IF(ISBLANK(AE21), "none", AE21)</f>
        <v>none</v>
      </c>
      <c r="AE21" s="63" t="s">
        <v>186</v>
      </c>
    </row>
    <row r="22" spans="2:31" ht="16.5" customHeight="1" x14ac:dyDescent="0.25">
      <c r="B22" s="27" t="s">
        <v>208</v>
      </c>
      <c r="C22" s="25">
        <f>IF(COUNT(D22)=1,D22,6)</f>
        <v>6</v>
      </c>
      <c r="D22" s="60"/>
      <c r="E22" s="27" t="s">
        <v>208</v>
      </c>
      <c r="F22" s="25">
        <f>IF(COUNT(G22)=1,G22,6)</f>
        <v>6</v>
      </c>
      <c r="G22" s="60"/>
      <c r="H22" s="27" t="s">
        <v>208</v>
      </c>
      <c r="I22" s="25">
        <f>IF(COUNT(J22)=1,J22,6)</f>
        <v>6</v>
      </c>
      <c r="J22" s="60"/>
      <c r="K22" s="27" t="s">
        <v>208</v>
      </c>
      <c r="L22" s="25">
        <f>IF(COUNT(M22)=1,M22,6)</f>
        <v>6</v>
      </c>
      <c r="M22" s="60"/>
      <c r="N22" s="27" t="s">
        <v>208</v>
      </c>
      <c r="O22" s="25">
        <f>IF(COUNT(P22)=1,P22,6)</f>
        <v>6</v>
      </c>
      <c r="P22" s="60"/>
      <c r="Q22" s="27" t="s">
        <v>208</v>
      </c>
      <c r="R22" s="25">
        <f>IF(COUNT(S22)=1,S22,6)</f>
        <v>6</v>
      </c>
      <c r="S22" s="60"/>
      <c r="T22" s="27" t="s">
        <v>208</v>
      </c>
      <c r="U22" s="25">
        <f>IF(COUNT(V22)=1,V22,6)</f>
        <v>6</v>
      </c>
      <c r="V22" s="60"/>
      <c r="W22" s="27" t="s">
        <v>208</v>
      </c>
      <c r="X22" s="25">
        <f>IF(COUNT(Y22)=1,Y22,6)</f>
        <v>6</v>
      </c>
      <c r="Y22" s="60"/>
      <c r="Z22" s="27" t="s">
        <v>208</v>
      </c>
      <c r="AA22" s="25">
        <f>IF(COUNT(AB22)=1,AB22,6)</f>
        <v>6</v>
      </c>
      <c r="AB22" s="60"/>
      <c r="AC22" s="27" t="s">
        <v>208</v>
      </c>
      <c r="AD22" s="25">
        <f>IF(COUNT(AE22)=1,AE22,6)</f>
        <v>6</v>
      </c>
      <c r="AE22" s="60"/>
    </row>
    <row r="23" spans="2:31" x14ac:dyDescent="0.25">
      <c r="B23" s="27" t="s">
        <v>209</v>
      </c>
      <c r="C23" s="36" t="str">
        <f>IF(ISBLANK(D23), "none", D23)</f>
        <v>none</v>
      </c>
      <c r="D23" s="60" t="s">
        <v>186</v>
      </c>
      <c r="E23" s="27" t="s">
        <v>209</v>
      </c>
      <c r="F23" s="36" t="str">
        <f>IF(ISBLANK(G23), "none", G23)</f>
        <v>none</v>
      </c>
      <c r="G23" s="60" t="s">
        <v>186</v>
      </c>
      <c r="H23" s="27" t="s">
        <v>209</v>
      </c>
      <c r="I23" s="36" t="str">
        <f>IF(ISBLANK(J23), "none", J23)</f>
        <v>none</v>
      </c>
      <c r="J23" s="60" t="s">
        <v>186</v>
      </c>
      <c r="K23" s="27" t="s">
        <v>209</v>
      </c>
      <c r="L23" s="36" t="str">
        <f>IF(ISBLANK(M23), "none", M23)</f>
        <v>none</v>
      </c>
      <c r="M23" s="60" t="s">
        <v>186</v>
      </c>
      <c r="N23" s="27" t="s">
        <v>209</v>
      </c>
      <c r="O23" s="36" t="str">
        <f>IF(ISBLANK(P23), "none", P23)</f>
        <v>none</v>
      </c>
      <c r="P23" s="60" t="s">
        <v>186</v>
      </c>
      <c r="Q23" s="27" t="s">
        <v>209</v>
      </c>
      <c r="R23" s="36" t="str">
        <f>IF(ISBLANK(S23), "none", S23)</f>
        <v>none</v>
      </c>
      <c r="S23" s="60" t="s">
        <v>186</v>
      </c>
      <c r="T23" s="27" t="s">
        <v>209</v>
      </c>
      <c r="U23" s="36" t="str">
        <f>IF(ISBLANK(V23), "none", V23)</f>
        <v>none</v>
      </c>
      <c r="V23" s="60" t="s">
        <v>186</v>
      </c>
      <c r="W23" s="27" t="s">
        <v>209</v>
      </c>
      <c r="X23" s="36" t="str">
        <f>IF(ISBLANK(Y23), "none", Y23)</f>
        <v>none</v>
      </c>
      <c r="Y23" s="60" t="s">
        <v>186</v>
      </c>
      <c r="Z23" s="27" t="s">
        <v>209</v>
      </c>
      <c r="AA23" s="36" t="str">
        <f>IF(ISBLANK(AB23), "none", AB23)</f>
        <v>none</v>
      </c>
      <c r="AB23" s="60" t="s">
        <v>186</v>
      </c>
      <c r="AC23" s="27" t="s">
        <v>209</v>
      </c>
      <c r="AD23" s="36" t="str">
        <f>IF(ISBLANK(AE23), "none", AE23)</f>
        <v>none</v>
      </c>
      <c r="AE23" s="60" t="s">
        <v>186</v>
      </c>
    </row>
    <row r="24" spans="2:31" x14ac:dyDescent="0.25">
      <c r="B24" s="27" t="s">
        <v>137</v>
      </c>
      <c r="C24" s="25">
        <f>IF(COUNT(D24)=1,D24,40)</f>
        <v>40</v>
      </c>
      <c r="D24" s="60"/>
      <c r="E24" s="27" t="s">
        <v>137</v>
      </c>
      <c r="F24" s="25">
        <f>IF(COUNT(G24)=1,G24,40)</f>
        <v>40</v>
      </c>
      <c r="G24" s="60"/>
      <c r="H24" s="27" t="s">
        <v>137</v>
      </c>
      <c r="I24" s="25">
        <f>IF(COUNT(J24)=1,J24,40)</f>
        <v>40</v>
      </c>
      <c r="J24" s="60"/>
      <c r="K24" s="27" t="s">
        <v>137</v>
      </c>
      <c r="L24" s="25">
        <f>IF(COUNT(M24)=1,M24,40)</f>
        <v>40</v>
      </c>
      <c r="M24" s="60"/>
      <c r="N24" s="27" t="s">
        <v>137</v>
      </c>
      <c r="O24" s="25">
        <f>IF(COUNT(P24)=1,P24,40)</f>
        <v>40</v>
      </c>
      <c r="P24" s="60"/>
      <c r="Q24" s="27" t="s">
        <v>137</v>
      </c>
      <c r="R24" s="25">
        <f>IF(COUNT(S24)=1,S24,40)</f>
        <v>40</v>
      </c>
      <c r="S24" s="60"/>
      <c r="T24" s="27" t="s">
        <v>137</v>
      </c>
      <c r="U24" s="25">
        <f>IF(COUNT(V24)=1,V24,40)</f>
        <v>40</v>
      </c>
      <c r="V24" s="60"/>
      <c r="W24" s="27" t="s">
        <v>137</v>
      </c>
      <c r="X24" s="25">
        <f>IF(COUNT(Y24)=1,Y24,40)</f>
        <v>40</v>
      </c>
      <c r="Y24" s="60"/>
      <c r="Z24" s="27" t="s">
        <v>137</v>
      </c>
      <c r="AA24" s="25">
        <f>IF(COUNT(AB24)=1,AB24,40)</f>
        <v>40</v>
      </c>
      <c r="AB24" s="60"/>
      <c r="AC24" s="27" t="s">
        <v>137</v>
      </c>
      <c r="AD24" s="25">
        <f>IF(COUNT(AE24)=1,AE24,40)</f>
        <v>40</v>
      </c>
      <c r="AE24" s="60"/>
    </row>
    <row r="25" spans="2:31" ht="16.5" customHeight="1" x14ac:dyDescent="0.25">
      <c r="B25" s="27" t="s">
        <v>210</v>
      </c>
      <c r="C25" s="36" t="str">
        <f>IF(ISBLANK(D25), "none", D25)</f>
        <v>none</v>
      </c>
      <c r="D25" s="60" t="s">
        <v>186</v>
      </c>
      <c r="E25" s="27" t="s">
        <v>210</v>
      </c>
      <c r="F25" s="36" t="str">
        <f>IF(ISBLANK(G25), "none", G25)</f>
        <v>none</v>
      </c>
      <c r="G25" s="60" t="s">
        <v>186</v>
      </c>
      <c r="H25" s="27" t="s">
        <v>210</v>
      </c>
      <c r="I25" s="36" t="str">
        <f>IF(ISBLANK(J25), "none", J25)</f>
        <v>none</v>
      </c>
      <c r="J25" s="60" t="s">
        <v>186</v>
      </c>
      <c r="K25" s="27" t="s">
        <v>210</v>
      </c>
      <c r="L25" s="36" t="str">
        <f>IF(ISBLANK(M25), "none", M25)</f>
        <v>none</v>
      </c>
      <c r="M25" s="60" t="s">
        <v>186</v>
      </c>
      <c r="N25" s="27" t="s">
        <v>210</v>
      </c>
      <c r="O25" s="36" t="str">
        <f>IF(ISBLANK(P25), "none", P25)</f>
        <v>none</v>
      </c>
      <c r="P25" s="60" t="s">
        <v>186</v>
      </c>
      <c r="Q25" s="27" t="s">
        <v>210</v>
      </c>
      <c r="R25" s="36" t="str">
        <f>IF(ISBLANK(S25), "none", S25)</f>
        <v>none</v>
      </c>
      <c r="S25" s="60" t="s">
        <v>186</v>
      </c>
      <c r="T25" s="27" t="s">
        <v>210</v>
      </c>
      <c r="U25" s="36" t="str">
        <f>IF(ISBLANK(V25), "none", V25)</f>
        <v>none</v>
      </c>
      <c r="V25" s="60" t="s">
        <v>186</v>
      </c>
      <c r="W25" s="27" t="s">
        <v>210</v>
      </c>
      <c r="X25" s="36" t="str">
        <f>IF(ISBLANK(Y25), "none", Y25)</f>
        <v>none</v>
      </c>
      <c r="Y25" s="60" t="s">
        <v>186</v>
      </c>
      <c r="Z25" s="27" t="s">
        <v>210</v>
      </c>
      <c r="AA25" s="36" t="str">
        <f>IF(ISBLANK(AB25), "none", AB25)</f>
        <v>none</v>
      </c>
      <c r="AB25" s="60" t="s">
        <v>186</v>
      </c>
      <c r="AC25" s="27" t="s">
        <v>210</v>
      </c>
      <c r="AD25" s="36" t="str">
        <f>IF(ISBLANK(AE25), "none", AE25)</f>
        <v>none</v>
      </c>
      <c r="AE25" s="60" t="s">
        <v>186</v>
      </c>
    </row>
    <row r="26" spans="2:31" ht="16.5" customHeight="1" x14ac:dyDescent="0.25">
      <c r="B26" s="27" t="s">
        <v>138</v>
      </c>
      <c r="C26" s="25">
        <f>IF(COUNT(D26)=1,D26,64)</f>
        <v>64</v>
      </c>
      <c r="D26" s="60"/>
      <c r="E26" s="27" t="s">
        <v>138</v>
      </c>
      <c r="F26" s="25">
        <f>IF(COUNT(G26)=1,G26,64)</f>
        <v>64</v>
      </c>
      <c r="G26" s="60"/>
      <c r="H26" s="27" t="s">
        <v>138</v>
      </c>
      <c r="I26" s="25">
        <f>IF(COUNT(J26)=1,J26,64)</f>
        <v>64</v>
      </c>
      <c r="J26" s="60"/>
      <c r="K26" s="27" t="s">
        <v>138</v>
      </c>
      <c r="L26" s="25">
        <f>IF(COUNT(M26)=1,M26,64)</f>
        <v>64</v>
      </c>
      <c r="M26" s="60"/>
      <c r="N26" s="27" t="s">
        <v>138</v>
      </c>
      <c r="O26" s="25">
        <f>IF(COUNT(P26)=1,P26,64)</f>
        <v>64</v>
      </c>
      <c r="P26" s="60"/>
      <c r="Q26" s="27" t="s">
        <v>138</v>
      </c>
      <c r="R26" s="25">
        <f>IF(COUNT(S26)=1,S26,64)</f>
        <v>64</v>
      </c>
      <c r="S26" s="60"/>
      <c r="T26" s="27" t="s">
        <v>138</v>
      </c>
      <c r="U26" s="25">
        <f>IF(COUNT(V26)=1,V26,64)</f>
        <v>64</v>
      </c>
      <c r="V26" s="60"/>
      <c r="W26" s="27" t="s">
        <v>138</v>
      </c>
      <c r="X26" s="25">
        <f>IF(COUNT(Y26)=1,Y26,64)</f>
        <v>64</v>
      </c>
      <c r="Y26" s="60"/>
      <c r="Z26" s="27" t="s">
        <v>138</v>
      </c>
      <c r="AA26" s="25">
        <f>IF(COUNT(AB26)=1,AB26,64)</f>
        <v>64</v>
      </c>
      <c r="AB26" s="60"/>
      <c r="AC26" s="27" t="s">
        <v>138</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211</v>
      </c>
      <c r="C28" s="36" t="str">
        <f>IF(ISBLANK(D28), "none", D28)</f>
        <v>none</v>
      </c>
      <c r="D28" s="63" t="s">
        <v>186</v>
      </c>
      <c r="E28" s="10" t="s">
        <v>211</v>
      </c>
      <c r="F28" s="36" t="str">
        <f>IF(ISBLANK(G28), "none", G28)</f>
        <v>none</v>
      </c>
      <c r="G28" s="63" t="s">
        <v>186</v>
      </c>
      <c r="H28" s="10" t="s">
        <v>211</v>
      </c>
      <c r="I28" s="36" t="str">
        <f>IF(ISBLANK(J28), "none", J28)</f>
        <v>none</v>
      </c>
      <c r="J28" s="63" t="s">
        <v>186</v>
      </c>
      <c r="K28" s="10" t="s">
        <v>211</v>
      </c>
      <c r="L28" s="36" t="str">
        <f>IF(ISBLANK(M28), "none", M28)</f>
        <v>none</v>
      </c>
      <c r="M28" s="63" t="s">
        <v>186</v>
      </c>
      <c r="N28" s="10" t="s">
        <v>211</v>
      </c>
      <c r="O28" s="36" t="str">
        <f>IF(ISBLANK(P28), "none", P28)</f>
        <v>none</v>
      </c>
      <c r="P28" s="63" t="s">
        <v>186</v>
      </c>
      <c r="Q28" s="10" t="s">
        <v>211</v>
      </c>
      <c r="R28" s="36" t="str">
        <f>IF(ISBLANK(S28), "none", S28)</f>
        <v>none</v>
      </c>
      <c r="S28" s="63" t="s">
        <v>186</v>
      </c>
      <c r="T28" s="10" t="s">
        <v>211</v>
      </c>
      <c r="U28" s="36" t="str">
        <f>IF(ISBLANK(V28), "none", V28)</f>
        <v>none</v>
      </c>
      <c r="V28" s="63" t="s">
        <v>186</v>
      </c>
      <c r="W28" s="10" t="s">
        <v>211</v>
      </c>
      <c r="X28" s="36" t="str">
        <f>IF(ISBLANK(Y28), "none", Y28)</f>
        <v>none</v>
      </c>
      <c r="Y28" s="63" t="s">
        <v>186</v>
      </c>
      <c r="Z28" s="10" t="s">
        <v>211</v>
      </c>
      <c r="AA28" s="36" t="str">
        <f>IF(ISBLANK(AB28), "none", AB28)</f>
        <v>none</v>
      </c>
      <c r="AB28" s="63" t="s">
        <v>186</v>
      </c>
      <c r="AC28" s="10" t="s">
        <v>211</v>
      </c>
      <c r="AD28" s="36" t="str">
        <f>IF(ISBLANK(AE28), "none", AE28)</f>
        <v>none</v>
      </c>
      <c r="AE28" s="63" t="s">
        <v>186</v>
      </c>
    </row>
    <row r="29" spans="2:31" ht="16.5" customHeight="1" x14ac:dyDescent="0.25">
      <c r="B29" s="27" t="s">
        <v>212</v>
      </c>
      <c r="C29" s="36" t="str">
        <f>IF(ISBLANK(D29), "none", D29)</f>
        <v>none</v>
      </c>
      <c r="D29" s="63" t="s">
        <v>186</v>
      </c>
      <c r="E29" s="27" t="s">
        <v>212</v>
      </c>
      <c r="F29" s="36" t="str">
        <f>IF(ISBLANK(G29), "none", G29)</f>
        <v>none</v>
      </c>
      <c r="G29" s="63" t="s">
        <v>186</v>
      </c>
      <c r="H29" s="27" t="s">
        <v>212</v>
      </c>
      <c r="I29" s="36" t="str">
        <f>IF(ISBLANK(J29), "none", J29)</f>
        <v>none</v>
      </c>
      <c r="J29" s="63" t="s">
        <v>186</v>
      </c>
      <c r="K29" s="27" t="s">
        <v>212</v>
      </c>
      <c r="L29" s="36" t="str">
        <f>IF(ISBLANK(M29), "none", M29)</f>
        <v>none</v>
      </c>
      <c r="M29" s="63" t="s">
        <v>186</v>
      </c>
      <c r="N29" s="27" t="s">
        <v>212</v>
      </c>
      <c r="O29" s="36" t="str">
        <f>IF(ISBLANK(P29), "none", P29)</f>
        <v>none</v>
      </c>
      <c r="P29" s="63" t="s">
        <v>186</v>
      </c>
      <c r="Q29" s="27" t="s">
        <v>212</v>
      </c>
      <c r="R29" s="36" t="str">
        <f>IF(ISBLANK(S29), "none", S29)</f>
        <v>none</v>
      </c>
      <c r="S29" s="63" t="s">
        <v>186</v>
      </c>
      <c r="T29" s="27" t="s">
        <v>212</v>
      </c>
      <c r="U29" s="36" t="str">
        <f>IF(ISBLANK(V29), "none", V29)</f>
        <v>none</v>
      </c>
      <c r="V29" s="63" t="s">
        <v>186</v>
      </c>
      <c r="W29" s="27" t="s">
        <v>212</v>
      </c>
      <c r="X29" s="36" t="str">
        <f>IF(ISBLANK(Y29), "none", Y29)</f>
        <v>none</v>
      </c>
      <c r="Y29" s="63" t="s">
        <v>186</v>
      </c>
      <c r="Z29" s="27" t="s">
        <v>212</v>
      </c>
      <c r="AA29" s="36" t="str">
        <f>IF(ISBLANK(AB29), "none", AB29)</f>
        <v>none</v>
      </c>
      <c r="AB29" s="63" t="s">
        <v>186</v>
      </c>
      <c r="AC29" s="27" t="s">
        <v>212</v>
      </c>
      <c r="AD29" s="36" t="str">
        <f>IF(ISBLANK(AE29), "none", AE29)</f>
        <v>none</v>
      </c>
      <c r="AE29" s="63" t="s">
        <v>186</v>
      </c>
    </row>
    <row r="30" spans="2:31" ht="16.5" customHeight="1" x14ac:dyDescent="0.25">
      <c r="B30" s="27" t="s">
        <v>213</v>
      </c>
      <c r="C30" s="25">
        <f>IF(COUNT(D30)=1,D30,6)</f>
        <v>6</v>
      </c>
      <c r="D30" s="60"/>
      <c r="E30" s="27" t="s">
        <v>213</v>
      </c>
      <c r="F30" s="25">
        <f>IF(COUNT(G30)=1,G30,6)</f>
        <v>6</v>
      </c>
      <c r="G30" s="60"/>
      <c r="H30" s="27" t="s">
        <v>213</v>
      </c>
      <c r="I30" s="25">
        <f>IF(COUNT(J30)=1,J30,6)</f>
        <v>6</v>
      </c>
      <c r="J30" s="60"/>
      <c r="K30" s="27" t="s">
        <v>213</v>
      </c>
      <c r="L30" s="25">
        <f>IF(COUNT(M30)=1,M30,6)</f>
        <v>6</v>
      </c>
      <c r="M30" s="60"/>
      <c r="N30" s="27" t="s">
        <v>213</v>
      </c>
      <c r="O30" s="25">
        <f>IF(COUNT(P30)=1,P30,6)</f>
        <v>6</v>
      </c>
      <c r="P30" s="60"/>
      <c r="Q30" s="27" t="s">
        <v>213</v>
      </c>
      <c r="R30" s="25">
        <f>IF(COUNT(S30)=1,S30,6)</f>
        <v>6</v>
      </c>
      <c r="S30" s="60"/>
      <c r="T30" s="27" t="s">
        <v>213</v>
      </c>
      <c r="U30" s="25">
        <f>IF(COUNT(V30)=1,V30,6)</f>
        <v>6</v>
      </c>
      <c r="V30" s="60"/>
      <c r="W30" s="27" t="s">
        <v>213</v>
      </c>
      <c r="X30" s="25">
        <f>IF(COUNT(Y30)=1,Y30,6)</f>
        <v>6</v>
      </c>
      <c r="Y30" s="60"/>
      <c r="Z30" s="27" t="s">
        <v>213</v>
      </c>
      <c r="AA30" s="25">
        <f>IF(COUNT(AB30)=1,AB30,6)</f>
        <v>6</v>
      </c>
      <c r="AB30" s="60"/>
      <c r="AC30" s="27" t="s">
        <v>213</v>
      </c>
      <c r="AD30" s="25">
        <f>IF(COUNT(AE30)=1,AE30,6)</f>
        <v>6</v>
      </c>
      <c r="AE30" s="60"/>
    </row>
    <row r="31" spans="2:31" x14ac:dyDescent="0.25">
      <c r="B31" s="27" t="s">
        <v>214</v>
      </c>
      <c r="C31" s="36" t="str">
        <f>IF(ISBLANK(D31), "none", D31)</f>
        <v>none</v>
      </c>
      <c r="D31" s="60" t="s">
        <v>186</v>
      </c>
      <c r="E31" s="27" t="s">
        <v>214</v>
      </c>
      <c r="F31" s="36" t="str">
        <f>IF(ISBLANK(G31), "none", G31)</f>
        <v>none</v>
      </c>
      <c r="G31" s="60" t="s">
        <v>186</v>
      </c>
      <c r="H31" s="27" t="s">
        <v>214</v>
      </c>
      <c r="I31" s="36" t="str">
        <f>IF(ISBLANK(J31), "none", J31)</f>
        <v>none</v>
      </c>
      <c r="J31" s="60" t="s">
        <v>186</v>
      </c>
      <c r="K31" s="27" t="s">
        <v>214</v>
      </c>
      <c r="L31" s="36" t="str">
        <f>IF(ISBLANK(M31), "none", M31)</f>
        <v>none</v>
      </c>
      <c r="M31" s="60" t="s">
        <v>186</v>
      </c>
      <c r="N31" s="27" t="s">
        <v>214</v>
      </c>
      <c r="O31" s="36" t="str">
        <f>IF(ISBLANK(P31), "none", P31)</f>
        <v>none</v>
      </c>
      <c r="P31" s="60" t="s">
        <v>186</v>
      </c>
      <c r="Q31" s="27" t="s">
        <v>214</v>
      </c>
      <c r="R31" s="36" t="str">
        <f>IF(ISBLANK(S31), "none", S31)</f>
        <v>none</v>
      </c>
      <c r="S31" s="60" t="s">
        <v>186</v>
      </c>
      <c r="T31" s="27" t="s">
        <v>214</v>
      </c>
      <c r="U31" s="36" t="str">
        <f>IF(ISBLANK(V31), "none", V31)</f>
        <v>none</v>
      </c>
      <c r="V31" s="60" t="s">
        <v>186</v>
      </c>
      <c r="W31" s="27" t="s">
        <v>214</v>
      </c>
      <c r="X31" s="36" t="str">
        <f>IF(ISBLANK(Y31), "none", Y31)</f>
        <v>none</v>
      </c>
      <c r="Y31" s="60" t="s">
        <v>186</v>
      </c>
      <c r="Z31" s="27" t="s">
        <v>214</v>
      </c>
      <c r="AA31" s="36" t="str">
        <f>IF(ISBLANK(AB31), "none", AB31)</f>
        <v>none</v>
      </c>
      <c r="AB31" s="60" t="s">
        <v>186</v>
      </c>
      <c r="AC31" s="27" t="s">
        <v>214</v>
      </c>
      <c r="AD31" s="36" t="str">
        <f>IF(ISBLANK(AE31), "none", AE31)</f>
        <v>none</v>
      </c>
      <c r="AE31" s="60" t="s">
        <v>186</v>
      </c>
    </row>
    <row r="32" spans="2:31" x14ac:dyDescent="0.25">
      <c r="B32" s="27" t="s">
        <v>139</v>
      </c>
      <c r="C32" s="25">
        <f>IF(COUNT(D32)=1,D32,40)</f>
        <v>40</v>
      </c>
      <c r="D32" s="60"/>
      <c r="E32" s="27" t="s">
        <v>139</v>
      </c>
      <c r="F32" s="25">
        <f>IF(COUNT(G32)=1,G32,40)</f>
        <v>40</v>
      </c>
      <c r="G32" s="60"/>
      <c r="H32" s="27" t="s">
        <v>139</v>
      </c>
      <c r="I32" s="25">
        <f>IF(COUNT(J32)=1,J32,40)</f>
        <v>40</v>
      </c>
      <c r="J32" s="60"/>
      <c r="K32" s="27" t="s">
        <v>139</v>
      </c>
      <c r="L32" s="25">
        <f>IF(COUNT(M32)=1,M32,40)</f>
        <v>40</v>
      </c>
      <c r="M32" s="60"/>
      <c r="N32" s="27" t="s">
        <v>139</v>
      </c>
      <c r="O32" s="25">
        <f>IF(COUNT(P32)=1,P32,40)</f>
        <v>40</v>
      </c>
      <c r="P32" s="60"/>
      <c r="Q32" s="27" t="s">
        <v>139</v>
      </c>
      <c r="R32" s="25">
        <f>IF(COUNT(S32)=1,S32,40)</f>
        <v>40</v>
      </c>
      <c r="S32" s="60"/>
      <c r="T32" s="27" t="s">
        <v>139</v>
      </c>
      <c r="U32" s="25">
        <f>IF(COUNT(V32)=1,V32,40)</f>
        <v>40</v>
      </c>
      <c r="V32" s="60"/>
      <c r="W32" s="27" t="s">
        <v>139</v>
      </c>
      <c r="X32" s="25">
        <f>IF(COUNT(Y32)=1,Y32,40)</f>
        <v>40</v>
      </c>
      <c r="Y32" s="60"/>
      <c r="Z32" s="27" t="s">
        <v>139</v>
      </c>
      <c r="AA32" s="25">
        <f>IF(COUNT(AB32)=1,AB32,40)</f>
        <v>40</v>
      </c>
      <c r="AB32" s="60"/>
      <c r="AC32" s="27" t="s">
        <v>139</v>
      </c>
      <c r="AD32" s="25">
        <f>IF(COUNT(AE32)=1,AE32,40)</f>
        <v>40</v>
      </c>
      <c r="AE32" s="60"/>
    </row>
    <row r="33" spans="2:31" x14ac:dyDescent="0.25">
      <c r="B33" s="27" t="s">
        <v>215</v>
      </c>
      <c r="C33" s="36" t="str">
        <f>IF(ISBLANK(D33), "none", D33)</f>
        <v>none</v>
      </c>
      <c r="D33" s="60" t="s">
        <v>186</v>
      </c>
      <c r="E33" s="27" t="s">
        <v>215</v>
      </c>
      <c r="F33" s="36" t="str">
        <f>IF(ISBLANK(G33), "none", G33)</f>
        <v>none</v>
      </c>
      <c r="G33" s="60" t="s">
        <v>186</v>
      </c>
      <c r="H33" s="27" t="s">
        <v>215</v>
      </c>
      <c r="I33" s="36" t="str">
        <f>IF(ISBLANK(J33), "none", J33)</f>
        <v>none</v>
      </c>
      <c r="J33" s="60" t="s">
        <v>186</v>
      </c>
      <c r="K33" s="27" t="s">
        <v>215</v>
      </c>
      <c r="L33" s="36" t="str">
        <f>IF(ISBLANK(M33), "none", M33)</f>
        <v>none</v>
      </c>
      <c r="M33" s="60" t="s">
        <v>186</v>
      </c>
      <c r="N33" s="27" t="s">
        <v>215</v>
      </c>
      <c r="O33" s="36" t="str">
        <f>IF(ISBLANK(P33), "none", P33)</f>
        <v>none</v>
      </c>
      <c r="P33" s="60" t="s">
        <v>186</v>
      </c>
      <c r="Q33" s="27" t="s">
        <v>215</v>
      </c>
      <c r="R33" s="36" t="str">
        <f>IF(ISBLANK(S33), "none", S33)</f>
        <v>none</v>
      </c>
      <c r="S33" s="60" t="s">
        <v>186</v>
      </c>
      <c r="T33" s="27" t="s">
        <v>215</v>
      </c>
      <c r="U33" s="36" t="str">
        <f>IF(ISBLANK(V33), "none", V33)</f>
        <v>none</v>
      </c>
      <c r="V33" s="60" t="s">
        <v>186</v>
      </c>
      <c r="W33" s="27" t="s">
        <v>215</v>
      </c>
      <c r="X33" s="36" t="str">
        <f>IF(ISBLANK(Y33), "none", Y33)</f>
        <v>none</v>
      </c>
      <c r="Y33" s="60" t="s">
        <v>186</v>
      </c>
      <c r="Z33" s="27" t="s">
        <v>215</v>
      </c>
      <c r="AA33" s="36" t="str">
        <f>IF(ISBLANK(AB33), "none", AB33)</f>
        <v>none</v>
      </c>
      <c r="AB33" s="60" t="s">
        <v>186</v>
      </c>
      <c r="AC33" s="27" t="s">
        <v>215</v>
      </c>
      <c r="AD33" s="36" t="str">
        <f>IF(ISBLANK(AE33), "none", AE33)</f>
        <v>none</v>
      </c>
      <c r="AE33" s="60" t="s">
        <v>186</v>
      </c>
    </row>
    <row r="34" spans="2:31" x14ac:dyDescent="0.25">
      <c r="B34" s="27" t="s">
        <v>140</v>
      </c>
      <c r="C34" s="25">
        <f>IF(COUNT(D34)=1,D34,64)</f>
        <v>64</v>
      </c>
      <c r="D34" s="61"/>
      <c r="E34" s="27" t="s">
        <v>140</v>
      </c>
      <c r="F34" s="25">
        <f>IF(COUNT(G34)=1,G34,64)</f>
        <v>64</v>
      </c>
      <c r="G34" s="61"/>
      <c r="H34" s="27" t="s">
        <v>140</v>
      </c>
      <c r="I34" s="25">
        <f>IF(COUNT(J34)=1,J34,64)</f>
        <v>64</v>
      </c>
      <c r="J34" s="61"/>
      <c r="K34" s="27" t="s">
        <v>140</v>
      </c>
      <c r="L34" s="25">
        <f>IF(COUNT(M34)=1,M34,64)</f>
        <v>64</v>
      </c>
      <c r="M34" s="61"/>
      <c r="N34" s="27" t="s">
        <v>140</v>
      </c>
      <c r="O34" s="25">
        <f>IF(COUNT(P34)=1,P34,64)</f>
        <v>64</v>
      </c>
      <c r="P34" s="61"/>
      <c r="Q34" s="27" t="s">
        <v>140</v>
      </c>
      <c r="R34" s="25">
        <f>IF(COUNT(S34)=1,S34,64)</f>
        <v>64</v>
      </c>
      <c r="S34" s="61"/>
      <c r="T34" s="27" t="s">
        <v>140</v>
      </c>
      <c r="U34" s="25">
        <f>IF(COUNT(V34)=1,V34,64)</f>
        <v>64</v>
      </c>
      <c r="V34" s="61"/>
      <c r="W34" s="27" t="s">
        <v>140</v>
      </c>
      <c r="X34" s="25">
        <f>IF(COUNT(Y34)=1,Y34,64)</f>
        <v>64</v>
      </c>
      <c r="Y34" s="61"/>
      <c r="Z34" s="27" t="s">
        <v>140</v>
      </c>
      <c r="AA34" s="25">
        <f>IF(COUNT(AB34)=1,AB34,64)</f>
        <v>64</v>
      </c>
      <c r="AB34" s="61"/>
      <c r="AC34" s="27" t="s">
        <v>140</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216</v>
      </c>
      <c r="C36" s="25"/>
      <c r="D36" s="62"/>
      <c r="E36" s="24" t="s">
        <v>216</v>
      </c>
      <c r="F36" s="25"/>
      <c r="G36" s="62"/>
      <c r="H36" s="24" t="s">
        <v>216</v>
      </c>
      <c r="I36" s="25"/>
      <c r="J36" s="62"/>
      <c r="K36" s="24" t="s">
        <v>216</v>
      </c>
      <c r="L36" s="25"/>
      <c r="M36" s="62"/>
      <c r="N36" s="24" t="s">
        <v>216</v>
      </c>
      <c r="O36" s="25"/>
      <c r="P36" s="62"/>
      <c r="Q36" s="24" t="s">
        <v>216</v>
      </c>
      <c r="R36" s="25"/>
      <c r="S36" s="62"/>
      <c r="T36" s="24" t="s">
        <v>216</v>
      </c>
      <c r="U36" s="25"/>
      <c r="V36" s="62"/>
      <c r="W36" s="24" t="s">
        <v>216</v>
      </c>
      <c r="X36" s="25"/>
      <c r="Y36" s="62"/>
      <c r="Z36" s="24" t="s">
        <v>216</v>
      </c>
      <c r="AA36" s="25"/>
      <c r="AB36" s="62"/>
      <c r="AC36" s="24" t="s">
        <v>216</v>
      </c>
      <c r="AD36" s="25"/>
      <c r="AE36" s="62"/>
    </row>
    <row r="37" spans="2:31" x14ac:dyDescent="0.25">
      <c r="B37" s="10" t="s">
        <v>217</v>
      </c>
      <c r="C37" s="25" t="str">
        <f>IF(ISBLANK(D37),"pig",D37)</f>
        <v>pig</v>
      </c>
      <c r="D37" s="63" t="s">
        <v>131</v>
      </c>
      <c r="E37" s="10" t="s">
        <v>217</v>
      </c>
      <c r="F37" s="25" t="str">
        <f>IF(ISBLANK(G37),"pig",G37)</f>
        <v>pig</v>
      </c>
      <c r="G37" s="63" t="s">
        <v>131</v>
      </c>
      <c r="H37" s="10" t="s">
        <v>217</v>
      </c>
      <c r="I37" s="25" t="str">
        <f>IF(ISBLANK(J37),"pig",J37)</f>
        <v>pig</v>
      </c>
      <c r="J37" s="63" t="s">
        <v>131</v>
      </c>
      <c r="K37" s="10" t="s">
        <v>217</v>
      </c>
      <c r="L37" s="25" t="str">
        <f>IF(ISBLANK(M37),"pig",M37)</f>
        <v>pig</v>
      </c>
      <c r="M37" s="63" t="s">
        <v>131</v>
      </c>
      <c r="N37" s="10" t="s">
        <v>217</v>
      </c>
      <c r="O37" s="25" t="str">
        <f>IF(ISBLANK(P37),"pig",P37)</f>
        <v>pig</v>
      </c>
      <c r="P37" s="63" t="s">
        <v>131</v>
      </c>
      <c r="Q37" s="10" t="s">
        <v>217</v>
      </c>
      <c r="R37" s="25" t="str">
        <f>IF(ISBLANK(S37),"pig",S37)</f>
        <v>pig</v>
      </c>
      <c r="S37" s="63" t="s">
        <v>131</v>
      </c>
      <c r="T37" s="10" t="s">
        <v>217</v>
      </c>
      <c r="U37" s="25" t="str">
        <f>IF(ISBLANK(V37),"pig",V37)</f>
        <v>pig</v>
      </c>
      <c r="V37" s="63" t="s">
        <v>131</v>
      </c>
      <c r="W37" s="10" t="s">
        <v>217</v>
      </c>
      <c r="X37" s="25" t="str">
        <f>IF(ISBLANK(Y37),"pig",Y37)</f>
        <v>pig</v>
      </c>
      <c r="Y37" s="63" t="s">
        <v>131</v>
      </c>
      <c r="Z37" s="10" t="s">
        <v>217</v>
      </c>
      <c r="AA37" s="25" t="str">
        <f>IF(ISBLANK(AB37),"pig",AB37)</f>
        <v>pig</v>
      </c>
      <c r="AB37" s="63" t="s">
        <v>131</v>
      </c>
      <c r="AC37" s="10" t="s">
        <v>217</v>
      </c>
      <c r="AD37" s="25" t="str">
        <f>IF(ISBLANK(AE37),"pig",AE37)</f>
        <v>pig</v>
      </c>
      <c r="AE37" s="63" t="s">
        <v>131</v>
      </c>
    </row>
    <row r="38" spans="2:31" x14ac:dyDescent="0.25">
      <c r="B38" s="10" t="s">
        <v>218</v>
      </c>
      <c r="C38" s="36" t="s">
        <v>152</v>
      </c>
      <c r="D38" s="63"/>
      <c r="E38" s="10" t="s">
        <v>218</v>
      </c>
      <c r="F38" s="36" t="s">
        <v>152</v>
      </c>
      <c r="G38" s="63"/>
      <c r="H38" s="10" t="s">
        <v>218</v>
      </c>
      <c r="I38" s="36" t="s">
        <v>152</v>
      </c>
      <c r="J38" s="63"/>
      <c r="K38" s="10" t="s">
        <v>218</v>
      </c>
      <c r="L38" s="36" t="s">
        <v>152</v>
      </c>
      <c r="M38" s="63"/>
      <c r="N38" s="10" t="s">
        <v>218</v>
      </c>
      <c r="O38" s="36" t="s">
        <v>152</v>
      </c>
      <c r="P38" s="63"/>
      <c r="Q38" s="10" t="s">
        <v>218</v>
      </c>
      <c r="R38" s="36" t="s">
        <v>152</v>
      </c>
      <c r="S38" s="63"/>
      <c r="T38" s="10" t="s">
        <v>218</v>
      </c>
      <c r="U38" s="36" t="s">
        <v>152</v>
      </c>
      <c r="V38" s="63"/>
      <c r="W38" s="10" t="s">
        <v>218</v>
      </c>
      <c r="X38" s="36" t="s">
        <v>152</v>
      </c>
      <c r="Y38" s="63"/>
      <c r="Z38" s="10" t="s">
        <v>218</v>
      </c>
      <c r="AA38" s="36" t="s">
        <v>152</v>
      </c>
      <c r="AB38" s="63"/>
      <c r="AC38" s="10" t="s">
        <v>218</v>
      </c>
      <c r="AD38" s="36" t="s">
        <v>152</v>
      </c>
      <c r="AE38" s="63"/>
    </row>
    <row r="39" spans="2:31" x14ac:dyDescent="0.25">
      <c r="B39" s="10" t="s">
        <v>219</v>
      </c>
      <c r="C39" s="25">
        <f>IF(COUNT(D39)=1,D39,HLOOKUP(C$37,defaults!$A$182:$C$194,MATCH('out-of-barn'!C38,defaults!$A$182:$A$194,0),FALSE))</f>
        <v>0</v>
      </c>
      <c r="D39" s="60"/>
      <c r="E39" s="10" t="s">
        <v>219</v>
      </c>
      <c r="F39" s="25">
        <f>IF(COUNT(G39)=1,G39,HLOOKUP(F$37,defaults!$A$182:$C$194,MATCH('out-of-barn'!F38,defaults!$A$182:$A$194,0),FALSE))</f>
        <v>0</v>
      </c>
      <c r="G39" s="60"/>
      <c r="H39" s="10" t="s">
        <v>219</v>
      </c>
      <c r="I39" s="25">
        <f>IF(COUNT(J39)=1,J39,HLOOKUP(I$37,defaults!$A$182:$C$194,MATCH('out-of-barn'!I38,defaults!$A$182:$A$194,0),FALSE))</f>
        <v>0</v>
      </c>
      <c r="J39" s="60"/>
      <c r="K39" s="10" t="s">
        <v>219</v>
      </c>
      <c r="L39" s="25">
        <f>IF(COUNT(M39)=1,M39,HLOOKUP(L$37,defaults!$A$182:$C$194,MATCH('out-of-barn'!L38,defaults!$A$182:$A$194,0),FALSE))</f>
        <v>0</v>
      </c>
      <c r="M39" s="60"/>
      <c r="N39" s="10" t="s">
        <v>219</v>
      </c>
      <c r="O39" s="25">
        <f>IF(COUNT(P39)=1,P39,HLOOKUP(O$37,defaults!$A$182:$C$194,MATCH('out-of-barn'!O38,defaults!$A$182:$A$194,0),FALSE))</f>
        <v>0</v>
      </c>
      <c r="P39" s="60"/>
      <c r="Q39" s="10" t="s">
        <v>219</v>
      </c>
      <c r="R39" s="25">
        <f>IF(COUNT(S39)=1,S39,HLOOKUP(R$37,defaults!$A$182:$C$194,MATCH('out-of-barn'!R38,defaults!$A$182:$A$194,0),FALSE))</f>
        <v>0</v>
      </c>
      <c r="S39" s="60"/>
      <c r="T39" s="10" t="s">
        <v>219</v>
      </c>
      <c r="U39" s="25">
        <f>IF(COUNT(V39)=1,V39,HLOOKUP(U$37,defaults!$A$182:$C$194,MATCH('out-of-barn'!U38,defaults!$A$182:$A$194,0),FALSE))</f>
        <v>0</v>
      </c>
      <c r="V39" s="60"/>
      <c r="W39" s="10" t="s">
        <v>219</v>
      </c>
      <c r="X39" s="25">
        <f>IF(COUNT(Y39)=1,Y39,HLOOKUP(X$37,defaults!$A$182:$C$194,MATCH('out-of-barn'!X38,defaults!$A$182:$A$194,0),FALSE))</f>
        <v>0</v>
      </c>
      <c r="Y39" s="60"/>
      <c r="Z39" s="10" t="s">
        <v>219</v>
      </c>
      <c r="AA39" s="25">
        <f>IF(COUNT(AB39)=1,AB39,HLOOKUP(AA$37,defaults!$A$182:$C$194,MATCH('out-of-barn'!AA38,defaults!$A$182:$A$194,0),FALSE))</f>
        <v>0</v>
      </c>
      <c r="AB39" s="60"/>
      <c r="AC39" s="10" t="s">
        <v>219</v>
      </c>
      <c r="AD39" s="25">
        <f>IF(COUNT(AE39)=1,AE39,HLOOKUP(AD$37,defaults!$A$182:$C$194,MATCH('out-of-barn'!AD38,defaults!$A$182:$A$194,0),FALSE))</f>
        <v>0</v>
      </c>
      <c r="AE39" s="60"/>
    </row>
    <row r="40" spans="2:31" x14ac:dyDescent="0.25">
      <c r="B40" s="10" t="s">
        <v>220</v>
      </c>
      <c r="C40" s="36" t="s">
        <v>153</v>
      </c>
      <c r="D40" s="63"/>
      <c r="E40" s="10" t="s">
        <v>220</v>
      </c>
      <c r="F40" s="36" t="s">
        <v>153</v>
      </c>
      <c r="G40" s="63"/>
      <c r="H40" s="10" t="s">
        <v>220</v>
      </c>
      <c r="I40" s="36" t="s">
        <v>153</v>
      </c>
      <c r="J40" s="63"/>
      <c r="K40" s="10" t="s">
        <v>220</v>
      </c>
      <c r="L40" s="36" t="s">
        <v>153</v>
      </c>
      <c r="M40" s="63"/>
      <c r="N40" s="10" t="s">
        <v>220</v>
      </c>
      <c r="O40" s="36" t="s">
        <v>153</v>
      </c>
      <c r="P40" s="63"/>
      <c r="Q40" s="10" t="s">
        <v>220</v>
      </c>
      <c r="R40" s="36" t="s">
        <v>153</v>
      </c>
      <c r="S40" s="63"/>
      <c r="T40" s="10" t="s">
        <v>220</v>
      </c>
      <c r="U40" s="36" t="s">
        <v>153</v>
      </c>
      <c r="V40" s="63"/>
      <c r="W40" s="10" t="s">
        <v>220</v>
      </c>
      <c r="X40" s="36" t="s">
        <v>153</v>
      </c>
      <c r="Y40" s="63"/>
      <c r="Z40" s="10" t="s">
        <v>220</v>
      </c>
      <c r="AA40" s="36" t="s">
        <v>153</v>
      </c>
      <c r="AB40" s="63"/>
      <c r="AC40" s="10" t="s">
        <v>220</v>
      </c>
      <c r="AD40" s="36" t="s">
        <v>153</v>
      </c>
      <c r="AE40" s="63"/>
    </row>
    <row r="41" spans="2:31" x14ac:dyDescent="0.25">
      <c r="B41" s="10" t="s">
        <v>221</v>
      </c>
      <c r="C41" s="25">
        <f>IF(COUNT(D41)=1,D41,HLOOKUP(C$37,defaults!$A$182:$C$194,MATCH('out-of-barn'!C40,defaults!$A$182:$A$194,0),FALSE))</f>
        <v>2</v>
      </c>
      <c r="D41" s="60"/>
      <c r="E41" s="10" t="s">
        <v>221</v>
      </c>
      <c r="F41" s="25">
        <f>IF(COUNT(G41)=1,G41,HLOOKUP(F$37,defaults!$A$182:$C$194,MATCH('out-of-barn'!F40,defaults!$A$182:$A$194,0),FALSE))</f>
        <v>2</v>
      </c>
      <c r="G41" s="60"/>
      <c r="H41" s="10" t="s">
        <v>221</v>
      </c>
      <c r="I41" s="25">
        <f>IF(COUNT(J41)=1,J41,HLOOKUP(I$37,defaults!$A$182:$C$194,MATCH('out-of-barn'!I40,defaults!$A$182:$A$194,0),FALSE))</f>
        <v>2</v>
      </c>
      <c r="J41" s="60"/>
      <c r="K41" s="10" t="s">
        <v>221</v>
      </c>
      <c r="L41" s="25">
        <f>IF(COUNT(M41)=1,M41,HLOOKUP(L$37,defaults!$A$182:$C$194,MATCH('out-of-barn'!L40,defaults!$A$182:$A$194,0),FALSE))</f>
        <v>2</v>
      </c>
      <c r="M41" s="60"/>
      <c r="N41" s="10" t="s">
        <v>221</v>
      </c>
      <c r="O41" s="25">
        <f>IF(COUNT(P41)=1,P41,HLOOKUP(O$37,defaults!$A$182:$C$194,MATCH('out-of-barn'!O40,defaults!$A$182:$A$194,0),FALSE))</f>
        <v>2</v>
      </c>
      <c r="P41" s="60"/>
      <c r="Q41" s="10" t="s">
        <v>221</v>
      </c>
      <c r="R41" s="25">
        <f>IF(COUNT(S41)=1,S41,HLOOKUP(R$37,defaults!$A$182:$C$194,MATCH('out-of-barn'!R40,defaults!$A$182:$A$194,0),FALSE))</f>
        <v>2</v>
      </c>
      <c r="S41" s="60"/>
      <c r="T41" s="10" t="s">
        <v>221</v>
      </c>
      <c r="U41" s="25">
        <f>IF(COUNT(V41)=1,V41,HLOOKUP(U$37,defaults!$A$182:$C$194,MATCH('out-of-barn'!U40,defaults!$A$182:$A$194,0),FALSE))</f>
        <v>2</v>
      </c>
      <c r="V41" s="60"/>
      <c r="W41" s="10" t="s">
        <v>221</v>
      </c>
      <c r="X41" s="25">
        <f>IF(COUNT(Y41)=1,Y41,HLOOKUP(X$37,defaults!$A$182:$C$194,MATCH('out-of-barn'!X40,defaults!$A$182:$A$194,0),FALSE))</f>
        <v>2</v>
      </c>
      <c r="Y41" s="60"/>
      <c r="Z41" s="10" t="s">
        <v>221</v>
      </c>
      <c r="AA41" s="25">
        <f>IF(COUNT(AB41)=1,AB41,HLOOKUP(AA$37,defaults!$A$182:$C$194,MATCH('out-of-barn'!AA40,defaults!$A$182:$A$194,0),FALSE))</f>
        <v>2</v>
      </c>
      <c r="AB41" s="60"/>
      <c r="AC41" s="10" t="s">
        <v>221</v>
      </c>
      <c r="AD41" s="25">
        <f>IF(COUNT(AE41)=1,AE41,HLOOKUP(AD$37,defaults!$A$182:$C$194,MATCH('out-of-barn'!AD40,defaults!$A$182:$A$194,0),FALSE))</f>
        <v>2</v>
      </c>
      <c r="AE41" s="60"/>
    </row>
    <row r="42" spans="2:31" x14ac:dyDescent="0.25">
      <c r="B42" s="10" t="s">
        <v>222</v>
      </c>
      <c r="C42" s="36" t="s">
        <v>154</v>
      </c>
      <c r="D42" s="63"/>
      <c r="E42" s="10" t="s">
        <v>222</v>
      </c>
      <c r="F42" s="36" t="s">
        <v>154</v>
      </c>
      <c r="G42" s="63"/>
      <c r="H42" s="10" t="s">
        <v>222</v>
      </c>
      <c r="I42" s="36" t="s">
        <v>154</v>
      </c>
      <c r="J42" s="63"/>
      <c r="K42" s="10" t="s">
        <v>222</v>
      </c>
      <c r="L42" s="36" t="s">
        <v>154</v>
      </c>
      <c r="M42" s="63"/>
      <c r="N42" s="10" t="s">
        <v>222</v>
      </c>
      <c r="O42" s="36" t="s">
        <v>154</v>
      </c>
      <c r="P42" s="63"/>
      <c r="Q42" s="10" t="s">
        <v>222</v>
      </c>
      <c r="R42" s="36" t="s">
        <v>154</v>
      </c>
      <c r="S42" s="63"/>
      <c r="T42" s="10" t="s">
        <v>222</v>
      </c>
      <c r="U42" s="36" t="s">
        <v>154</v>
      </c>
      <c r="V42" s="63"/>
      <c r="W42" s="10" t="s">
        <v>222</v>
      </c>
      <c r="X42" s="36" t="s">
        <v>154</v>
      </c>
      <c r="Y42" s="63"/>
      <c r="Z42" s="10" t="s">
        <v>222</v>
      </c>
      <c r="AA42" s="36" t="s">
        <v>154</v>
      </c>
      <c r="AB42" s="63"/>
      <c r="AC42" s="10" t="s">
        <v>222</v>
      </c>
      <c r="AD42" s="36" t="s">
        <v>154</v>
      </c>
      <c r="AE42" s="63"/>
    </row>
    <row r="43" spans="2:31" x14ac:dyDescent="0.25">
      <c r="B43" s="10" t="s">
        <v>223</v>
      </c>
      <c r="C43" s="25">
        <f>IF(COUNT(D43)=1,D43,HLOOKUP(C$37,defaults!$A$182:$C$194,MATCH('out-of-barn'!C42,defaults!$A$182:$A$194,0),FALSE))</f>
        <v>21</v>
      </c>
      <c r="D43" s="60"/>
      <c r="E43" s="10" t="s">
        <v>223</v>
      </c>
      <c r="F43" s="25">
        <f>IF(COUNT(G43)=1,G43,HLOOKUP(F$37,defaults!$A$182:$C$194,MATCH('out-of-barn'!F42,defaults!$A$182:$A$194,0),FALSE))</f>
        <v>21</v>
      </c>
      <c r="G43" s="60"/>
      <c r="H43" s="10" t="s">
        <v>223</v>
      </c>
      <c r="I43" s="25">
        <f>IF(COUNT(J43)=1,J43,HLOOKUP(I$37,defaults!$A$182:$C$194,MATCH('out-of-barn'!I42,defaults!$A$182:$A$194,0),FALSE))</f>
        <v>21</v>
      </c>
      <c r="J43" s="60"/>
      <c r="K43" s="10" t="s">
        <v>223</v>
      </c>
      <c r="L43" s="25">
        <f>IF(COUNT(M43)=1,M43,HLOOKUP(L$37,defaults!$A$182:$C$194,MATCH('out-of-barn'!L42,defaults!$A$182:$A$194,0),FALSE))</f>
        <v>21</v>
      </c>
      <c r="M43" s="60"/>
      <c r="N43" s="10" t="s">
        <v>223</v>
      </c>
      <c r="O43" s="25">
        <f>IF(COUNT(P43)=1,P43,HLOOKUP(O$37,defaults!$A$182:$C$194,MATCH('out-of-barn'!O42,defaults!$A$182:$A$194,0),FALSE))</f>
        <v>21</v>
      </c>
      <c r="P43" s="60"/>
      <c r="Q43" s="10" t="s">
        <v>223</v>
      </c>
      <c r="R43" s="25">
        <f>IF(COUNT(S43)=1,S43,HLOOKUP(R$37,defaults!$A$182:$C$194,MATCH('out-of-barn'!R42,defaults!$A$182:$A$194,0),FALSE))</f>
        <v>21</v>
      </c>
      <c r="S43" s="60"/>
      <c r="T43" s="10" t="s">
        <v>223</v>
      </c>
      <c r="U43" s="25">
        <f>IF(COUNT(V43)=1,V43,HLOOKUP(U$37,defaults!$A$182:$C$194,MATCH('out-of-barn'!U42,defaults!$A$182:$A$194,0),FALSE))</f>
        <v>21</v>
      </c>
      <c r="V43" s="60"/>
      <c r="W43" s="10" t="s">
        <v>223</v>
      </c>
      <c r="X43" s="25">
        <f>IF(COUNT(Y43)=1,Y43,HLOOKUP(X$37,defaults!$A$182:$C$194,MATCH('out-of-barn'!X42,defaults!$A$182:$A$194,0),FALSE))</f>
        <v>21</v>
      </c>
      <c r="Y43" s="60"/>
      <c r="Z43" s="10" t="s">
        <v>223</v>
      </c>
      <c r="AA43" s="25">
        <f>IF(COUNT(AB43)=1,AB43,HLOOKUP(AA$37,defaults!$A$182:$C$194,MATCH('out-of-barn'!AA42,defaults!$A$182:$A$194,0),FALSE))</f>
        <v>21</v>
      </c>
      <c r="AB43" s="60"/>
      <c r="AC43" s="10" t="s">
        <v>223</v>
      </c>
      <c r="AD43" s="25">
        <f>IF(COUNT(AE43)=1,AE43,HLOOKUP(AD$37,defaults!$A$182:$C$194,MATCH('out-of-barn'!AD42,defaults!$A$182:$A$194,0),FALSE))</f>
        <v>21</v>
      </c>
      <c r="AE43" s="60"/>
    </row>
    <row r="44" spans="2:31" x14ac:dyDescent="0.25">
      <c r="B44" s="10" t="s">
        <v>224</v>
      </c>
      <c r="C44" s="36" t="s">
        <v>155</v>
      </c>
      <c r="D44" s="63"/>
      <c r="E44" s="10" t="s">
        <v>224</v>
      </c>
      <c r="F44" s="36" t="s">
        <v>155</v>
      </c>
      <c r="G44" s="63"/>
      <c r="H44" s="10" t="s">
        <v>224</v>
      </c>
      <c r="I44" s="36" t="s">
        <v>155</v>
      </c>
      <c r="J44" s="63"/>
      <c r="K44" s="10" t="s">
        <v>224</v>
      </c>
      <c r="L44" s="36" t="s">
        <v>155</v>
      </c>
      <c r="M44" s="63"/>
      <c r="N44" s="10" t="s">
        <v>224</v>
      </c>
      <c r="O44" s="36" t="s">
        <v>155</v>
      </c>
      <c r="P44" s="63"/>
      <c r="Q44" s="10" t="s">
        <v>224</v>
      </c>
      <c r="R44" s="36" t="s">
        <v>155</v>
      </c>
      <c r="S44" s="63"/>
      <c r="T44" s="10" t="s">
        <v>224</v>
      </c>
      <c r="U44" s="36" t="s">
        <v>155</v>
      </c>
      <c r="V44" s="63"/>
      <c r="W44" s="10" t="s">
        <v>224</v>
      </c>
      <c r="X44" s="36" t="s">
        <v>155</v>
      </c>
      <c r="Y44" s="63"/>
      <c r="Z44" s="10" t="s">
        <v>224</v>
      </c>
      <c r="AA44" s="36" t="s">
        <v>155</v>
      </c>
      <c r="AB44" s="63"/>
      <c r="AC44" s="10" t="s">
        <v>224</v>
      </c>
      <c r="AD44" s="36" t="s">
        <v>155</v>
      </c>
      <c r="AE44" s="63"/>
    </row>
    <row r="45" spans="2:31" x14ac:dyDescent="0.25">
      <c r="B45" s="10" t="s">
        <v>225</v>
      </c>
      <c r="C45" s="25">
        <f>IF(COUNT(D45)=1,D45,HLOOKUP(C$37,defaults!$A$182:$C$194,MATCH('out-of-barn'!C44,defaults!$A$182:$A$194,0),FALSE))</f>
        <v>58</v>
      </c>
      <c r="D45" s="60"/>
      <c r="E45" s="10" t="s">
        <v>225</v>
      </c>
      <c r="F45" s="25">
        <f>IF(COUNT(G45)=1,G45,HLOOKUP(F$37,defaults!$A$182:$C$194,MATCH('out-of-barn'!F44,defaults!$A$182:$A$194,0),FALSE))</f>
        <v>58</v>
      </c>
      <c r="G45" s="60"/>
      <c r="H45" s="10" t="s">
        <v>225</v>
      </c>
      <c r="I45" s="25">
        <f>IF(COUNT(J45)=1,J45,HLOOKUP(I$37,defaults!$A$182:$C$194,MATCH('out-of-barn'!I44,defaults!$A$182:$A$194,0),FALSE))</f>
        <v>58</v>
      </c>
      <c r="J45" s="60"/>
      <c r="K45" s="10" t="s">
        <v>225</v>
      </c>
      <c r="L45" s="25">
        <f>IF(COUNT(M45)=1,M45,HLOOKUP(L$37,defaults!$A$182:$C$194,MATCH('out-of-barn'!L44,defaults!$A$182:$A$194,0),FALSE))</f>
        <v>58</v>
      </c>
      <c r="M45" s="60"/>
      <c r="N45" s="10" t="s">
        <v>225</v>
      </c>
      <c r="O45" s="25">
        <f>IF(COUNT(P45)=1,P45,HLOOKUP(O$37,defaults!$A$182:$C$194,MATCH('out-of-barn'!O44,defaults!$A$182:$A$194,0),FALSE))</f>
        <v>58</v>
      </c>
      <c r="P45" s="60"/>
      <c r="Q45" s="10" t="s">
        <v>225</v>
      </c>
      <c r="R45" s="25">
        <f>IF(COUNT(S45)=1,S45,HLOOKUP(R$37,defaults!$A$182:$C$194,MATCH('out-of-barn'!R44,defaults!$A$182:$A$194,0),FALSE))</f>
        <v>58</v>
      </c>
      <c r="S45" s="60"/>
      <c r="T45" s="10" t="s">
        <v>225</v>
      </c>
      <c r="U45" s="25">
        <f>IF(COUNT(V45)=1,V45,HLOOKUP(U$37,defaults!$A$182:$C$194,MATCH('out-of-barn'!U44,defaults!$A$182:$A$194,0),FALSE))</f>
        <v>58</v>
      </c>
      <c r="V45" s="60"/>
      <c r="W45" s="10" t="s">
        <v>225</v>
      </c>
      <c r="X45" s="25">
        <f>IF(COUNT(Y45)=1,Y45,HLOOKUP(X$37,defaults!$A$182:$C$194,MATCH('out-of-barn'!X44,defaults!$A$182:$A$194,0),FALSE))</f>
        <v>58</v>
      </c>
      <c r="Y45" s="60"/>
      <c r="Z45" s="10" t="s">
        <v>225</v>
      </c>
      <c r="AA45" s="25">
        <f>IF(COUNT(AB45)=1,AB45,HLOOKUP(AA$37,defaults!$A$182:$C$194,MATCH('out-of-barn'!AA44,defaults!$A$182:$A$194,0),FALSE))</f>
        <v>58</v>
      </c>
      <c r="AB45" s="60"/>
      <c r="AC45" s="10" t="s">
        <v>225</v>
      </c>
      <c r="AD45" s="25">
        <f>IF(COUNT(AE45)=1,AE45,HLOOKUP(AD$37,defaults!$A$182:$C$194,MATCH('out-of-barn'!AD44,defaults!$A$182:$A$194,0),FALSE))</f>
        <v>58</v>
      </c>
      <c r="AE45" s="60"/>
    </row>
    <row r="46" spans="2:31" x14ac:dyDescent="0.25">
      <c r="B46" s="10" t="s">
        <v>226</v>
      </c>
      <c r="C46" s="36" t="s">
        <v>156</v>
      </c>
      <c r="D46" s="63"/>
      <c r="E46" s="10" t="s">
        <v>226</v>
      </c>
      <c r="F46" s="36" t="s">
        <v>156</v>
      </c>
      <c r="G46" s="63"/>
      <c r="H46" s="10" t="s">
        <v>226</v>
      </c>
      <c r="I46" s="36" t="s">
        <v>156</v>
      </c>
      <c r="J46" s="63"/>
      <c r="K46" s="10" t="s">
        <v>226</v>
      </c>
      <c r="L46" s="36" t="s">
        <v>156</v>
      </c>
      <c r="M46" s="63"/>
      <c r="N46" s="10" t="s">
        <v>226</v>
      </c>
      <c r="O46" s="36" t="s">
        <v>156</v>
      </c>
      <c r="P46" s="63"/>
      <c r="Q46" s="10" t="s">
        <v>226</v>
      </c>
      <c r="R46" s="36" t="s">
        <v>156</v>
      </c>
      <c r="S46" s="63"/>
      <c r="T46" s="10" t="s">
        <v>226</v>
      </c>
      <c r="U46" s="36" t="s">
        <v>156</v>
      </c>
      <c r="V46" s="63"/>
      <c r="W46" s="10" t="s">
        <v>226</v>
      </c>
      <c r="X46" s="36" t="s">
        <v>156</v>
      </c>
      <c r="Y46" s="63"/>
      <c r="Z46" s="10" t="s">
        <v>226</v>
      </c>
      <c r="AA46" s="36" t="s">
        <v>156</v>
      </c>
      <c r="AB46" s="63"/>
      <c r="AC46" s="10" t="s">
        <v>226</v>
      </c>
      <c r="AD46" s="36" t="s">
        <v>156</v>
      </c>
      <c r="AE46" s="63"/>
    </row>
    <row r="47" spans="2:31" x14ac:dyDescent="0.25">
      <c r="B47" s="10" t="s">
        <v>227</v>
      </c>
      <c r="C47" s="25">
        <f>IF(COUNT(D47)=1,D47,HLOOKUP(C$37,defaults!$A$182:$C$194,MATCH('out-of-barn'!C46,defaults!$A$182:$A$194,0),FALSE))</f>
        <v>10</v>
      </c>
      <c r="D47" s="60"/>
      <c r="E47" s="10" t="s">
        <v>227</v>
      </c>
      <c r="F47" s="25">
        <f>IF(COUNT(G47)=1,G47,HLOOKUP(F$37,defaults!$A$182:$C$194,MATCH('out-of-barn'!F46,defaults!$A$182:$A$194,0),FALSE))</f>
        <v>10</v>
      </c>
      <c r="G47" s="60"/>
      <c r="H47" s="10" t="s">
        <v>227</v>
      </c>
      <c r="I47" s="25">
        <f>IF(COUNT(J47)=1,J47,HLOOKUP(I$37,defaults!$A$182:$C$194,MATCH('out-of-barn'!I46,defaults!$A$182:$A$194,0),FALSE))</f>
        <v>10</v>
      </c>
      <c r="J47" s="60"/>
      <c r="K47" s="10" t="s">
        <v>227</v>
      </c>
      <c r="L47" s="25">
        <f>IF(COUNT(M47)=1,M47,HLOOKUP(L$37,defaults!$A$182:$C$194,MATCH('out-of-barn'!L46,defaults!$A$182:$A$194,0),FALSE))</f>
        <v>10</v>
      </c>
      <c r="M47" s="60"/>
      <c r="N47" s="10" t="s">
        <v>227</v>
      </c>
      <c r="O47" s="25">
        <f>IF(COUNT(P47)=1,P47,HLOOKUP(O$37,defaults!$A$182:$C$194,MATCH('out-of-barn'!O46,defaults!$A$182:$A$194,0),FALSE))</f>
        <v>10</v>
      </c>
      <c r="P47" s="60"/>
      <c r="Q47" s="10" t="s">
        <v>227</v>
      </c>
      <c r="R47" s="25">
        <f>IF(COUNT(S47)=1,S47,HLOOKUP(R$37,defaults!$A$182:$C$194,MATCH('out-of-barn'!R46,defaults!$A$182:$A$194,0),FALSE))</f>
        <v>10</v>
      </c>
      <c r="S47" s="60"/>
      <c r="T47" s="10" t="s">
        <v>227</v>
      </c>
      <c r="U47" s="25">
        <f>IF(COUNT(V47)=1,V47,HLOOKUP(U$37,defaults!$A$182:$C$194,MATCH('out-of-barn'!U46,defaults!$A$182:$A$194,0),FALSE))</f>
        <v>10</v>
      </c>
      <c r="V47" s="60"/>
      <c r="W47" s="10" t="s">
        <v>227</v>
      </c>
      <c r="X47" s="25">
        <f>IF(COUNT(Y47)=1,Y47,HLOOKUP(X$37,defaults!$A$182:$C$194,MATCH('out-of-barn'!X46,defaults!$A$182:$A$194,0),FALSE))</f>
        <v>10</v>
      </c>
      <c r="Y47" s="60"/>
      <c r="Z47" s="10" t="s">
        <v>227</v>
      </c>
      <c r="AA47" s="25">
        <f>IF(COUNT(AB47)=1,AB47,HLOOKUP(AA$37,defaults!$A$182:$C$194,MATCH('out-of-barn'!AA46,defaults!$A$182:$A$194,0),FALSE))</f>
        <v>10</v>
      </c>
      <c r="AB47" s="60"/>
      <c r="AC47" s="10" t="s">
        <v>227</v>
      </c>
      <c r="AD47" s="25">
        <f>IF(COUNT(AE47)=1,AE47,HLOOKUP(AD$37,defaults!$A$182:$C$194,MATCH('out-of-barn'!AD46,defaults!$A$182:$A$194,0),FALSE))</f>
        <v>10</v>
      </c>
      <c r="AE47" s="60"/>
    </row>
    <row r="48" spans="2:31" x14ac:dyDescent="0.25">
      <c r="B48" s="10" t="s">
        <v>228</v>
      </c>
      <c r="C48" s="36" t="s">
        <v>157</v>
      </c>
      <c r="D48" s="63"/>
      <c r="E48" s="10" t="s">
        <v>228</v>
      </c>
      <c r="F48" s="36" t="s">
        <v>157</v>
      </c>
      <c r="G48" s="63"/>
      <c r="H48" s="10" t="s">
        <v>228</v>
      </c>
      <c r="I48" s="36" t="s">
        <v>157</v>
      </c>
      <c r="J48" s="63"/>
      <c r="K48" s="10" t="s">
        <v>228</v>
      </c>
      <c r="L48" s="36" t="s">
        <v>157</v>
      </c>
      <c r="M48" s="63"/>
      <c r="N48" s="10" t="s">
        <v>228</v>
      </c>
      <c r="O48" s="36" t="s">
        <v>157</v>
      </c>
      <c r="P48" s="63"/>
      <c r="Q48" s="10" t="s">
        <v>228</v>
      </c>
      <c r="R48" s="36" t="s">
        <v>157</v>
      </c>
      <c r="S48" s="63"/>
      <c r="T48" s="10" t="s">
        <v>228</v>
      </c>
      <c r="U48" s="36" t="s">
        <v>157</v>
      </c>
      <c r="V48" s="63"/>
      <c r="W48" s="10" t="s">
        <v>228</v>
      </c>
      <c r="X48" s="36" t="s">
        <v>157</v>
      </c>
      <c r="Y48" s="63"/>
      <c r="Z48" s="10" t="s">
        <v>228</v>
      </c>
      <c r="AA48" s="36" t="s">
        <v>157</v>
      </c>
      <c r="AB48" s="63"/>
      <c r="AC48" s="10" t="s">
        <v>228</v>
      </c>
      <c r="AD48" s="36" t="s">
        <v>157</v>
      </c>
      <c r="AE48" s="63"/>
    </row>
    <row r="49" spans="2:31" x14ac:dyDescent="0.25">
      <c r="B49" s="10" t="s">
        <v>229</v>
      </c>
      <c r="C49" s="25">
        <f>IF(COUNT(D49)=1,D49,HLOOKUP(C$37,defaults!$A$182:$C$194,MATCH('out-of-barn'!C48,defaults!$A$182:$A$194,0),FALSE))</f>
        <v>1</v>
      </c>
      <c r="D49" s="60"/>
      <c r="E49" s="10" t="s">
        <v>229</v>
      </c>
      <c r="F49" s="25">
        <f>IF(COUNT(G49)=1,G49,HLOOKUP(F$37,defaults!$A$182:$C$194,MATCH('out-of-barn'!F48,defaults!$A$182:$A$194,0),FALSE))</f>
        <v>1</v>
      </c>
      <c r="G49" s="60"/>
      <c r="H49" s="10" t="s">
        <v>229</v>
      </c>
      <c r="I49" s="25">
        <f>IF(COUNT(J49)=1,J49,HLOOKUP(I$37,defaults!$A$182:$C$194,MATCH('out-of-barn'!I48,defaults!$A$182:$A$194,0),FALSE))</f>
        <v>1</v>
      </c>
      <c r="J49" s="60"/>
      <c r="K49" s="10" t="s">
        <v>229</v>
      </c>
      <c r="L49" s="25">
        <f>IF(COUNT(M49)=1,M49,HLOOKUP(L$37,defaults!$A$182:$C$194,MATCH('out-of-barn'!L48,defaults!$A$182:$A$194,0),FALSE))</f>
        <v>1</v>
      </c>
      <c r="M49" s="60"/>
      <c r="N49" s="10" t="s">
        <v>229</v>
      </c>
      <c r="O49" s="25">
        <f>IF(COUNT(P49)=1,P49,HLOOKUP(O$37,defaults!$A$182:$C$194,MATCH('out-of-barn'!O48,defaults!$A$182:$A$194,0),FALSE))</f>
        <v>1</v>
      </c>
      <c r="P49" s="60"/>
      <c r="Q49" s="10" t="s">
        <v>229</v>
      </c>
      <c r="R49" s="25">
        <f>IF(COUNT(S49)=1,S49,HLOOKUP(R$37,defaults!$A$182:$C$194,MATCH('out-of-barn'!R48,defaults!$A$182:$A$194,0),FALSE))</f>
        <v>1</v>
      </c>
      <c r="S49" s="60"/>
      <c r="T49" s="10" t="s">
        <v>229</v>
      </c>
      <c r="U49" s="25">
        <f>IF(COUNT(V49)=1,V49,HLOOKUP(U$37,defaults!$A$182:$C$194,MATCH('out-of-barn'!U48,defaults!$A$182:$A$194,0),FALSE))</f>
        <v>1</v>
      </c>
      <c r="V49" s="60"/>
      <c r="W49" s="10" t="s">
        <v>229</v>
      </c>
      <c r="X49" s="25">
        <f>IF(COUNT(Y49)=1,Y49,HLOOKUP(X$37,defaults!$A$182:$C$194,MATCH('out-of-barn'!X48,defaults!$A$182:$A$194,0),FALSE))</f>
        <v>1</v>
      </c>
      <c r="Y49" s="60"/>
      <c r="Z49" s="10" t="s">
        <v>229</v>
      </c>
      <c r="AA49" s="25">
        <f>IF(COUNT(AB49)=1,AB49,HLOOKUP(AA$37,defaults!$A$182:$C$194,MATCH('out-of-barn'!AA48,defaults!$A$182:$A$194,0),FALSE))</f>
        <v>1</v>
      </c>
      <c r="AB49" s="60"/>
      <c r="AC49" s="10" t="s">
        <v>229</v>
      </c>
      <c r="AD49" s="25">
        <f>IF(COUNT(AE49)=1,AE49,HLOOKUP(AD$37,defaults!$A$182:$C$194,MATCH('out-of-barn'!AD48,defaults!$A$182:$A$194,0),FALSE))</f>
        <v>1</v>
      </c>
      <c r="AE49" s="60"/>
    </row>
    <row r="50" spans="2:31" ht="16.5" customHeight="1" x14ac:dyDescent="0.25">
      <c r="B50" s="10" t="s">
        <v>230</v>
      </c>
      <c r="C50" s="36" t="s">
        <v>158</v>
      </c>
      <c r="D50" s="63"/>
      <c r="E50" s="10" t="s">
        <v>230</v>
      </c>
      <c r="F50" s="36" t="s">
        <v>158</v>
      </c>
      <c r="G50" s="63"/>
      <c r="H50" s="10" t="s">
        <v>230</v>
      </c>
      <c r="I50" s="36" t="s">
        <v>158</v>
      </c>
      <c r="J50" s="63"/>
      <c r="K50" s="10" t="s">
        <v>230</v>
      </c>
      <c r="L50" s="36" t="s">
        <v>158</v>
      </c>
      <c r="M50" s="63"/>
      <c r="N50" s="10" t="s">
        <v>230</v>
      </c>
      <c r="O50" s="36" t="s">
        <v>158</v>
      </c>
      <c r="P50" s="63"/>
      <c r="Q50" s="10" t="s">
        <v>230</v>
      </c>
      <c r="R50" s="36" t="s">
        <v>158</v>
      </c>
      <c r="S50" s="63"/>
      <c r="T50" s="10" t="s">
        <v>230</v>
      </c>
      <c r="U50" s="36" t="s">
        <v>158</v>
      </c>
      <c r="V50" s="63"/>
      <c r="W50" s="10" t="s">
        <v>230</v>
      </c>
      <c r="X50" s="36" t="s">
        <v>158</v>
      </c>
      <c r="Y50" s="63"/>
      <c r="Z50" s="10" t="s">
        <v>230</v>
      </c>
      <c r="AA50" s="36" t="s">
        <v>158</v>
      </c>
      <c r="AB50" s="63"/>
      <c r="AC50" s="10" t="s">
        <v>230</v>
      </c>
      <c r="AD50" s="36" t="s">
        <v>158</v>
      </c>
      <c r="AE50" s="63"/>
    </row>
    <row r="51" spans="2:31" ht="16.5" customHeight="1" x14ac:dyDescent="0.25">
      <c r="B51" s="10" t="s">
        <v>231</v>
      </c>
      <c r="C51" s="25">
        <f>IF(COUNT(D51)=1,D51,HLOOKUP(C$37,defaults!$A$182:$C$194,MATCH('out-of-barn'!C50,defaults!$A$182:$A$194,0),FALSE))</f>
        <v>1</v>
      </c>
      <c r="D51" s="60"/>
      <c r="E51" s="10" t="s">
        <v>231</v>
      </c>
      <c r="F51" s="25">
        <f>IF(COUNT(G51)=1,G51,HLOOKUP(F$37,defaults!$A$182:$C$194,MATCH('out-of-barn'!F50,defaults!$A$182:$A$194,0),FALSE))</f>
        <v>1</v>
      </c>
      <c r="G51" s="60"/>
      <c r="H51" s="10" t="s">
        <v>231</v>
      </c>
      <c r="I51" s="25">
        <f>IF(COUNT(J51)=1,J51,HLOOKUP(I$37,defaults!$A$182:$C$194,MATCH('out-of-barn'!I50,defaults!$A$182:$A$194,0),FALSE))</f>
        <v>1</v>
      </c>
      <c r="J51" s="60"/>
      <c r="K51" s="10" t="s">
        <v>231</v>
      </c>
      <c r="L51" s="25">
        <f>IF(COUNT(M51)=1,M51,HLOOKUP(L$37,defaults!$A$182:$C$194,MATCH('out-of-barn'!L50,defaults!$A$182:$A$194,0),FALSE))</f>
        <v>1</v>
      </c>
      <c r="M51" s="60"/>
      <c r="N51" s="10" t="s">
        <v>231</v>
      </c>
      <c r="O51" s="25">
        <f>IF(COUNT(P51)=1,P51,HLOOKUP(O$37,defaults!$A$182:$C$194,MATCH('out-of-barn'!O50,defaults!$A$182:$A$194,0),FALSE))</f>
        <v>1</v>
      </c>
      <c r="P51" s="60"/>
      <c r="Q51" s="10" t="s">
        <v>231</v>
      </c>
      <c r="R51" s="25">
        <f>IF(COUNT(S51)=1,S51,HLOOKUP(R$37,defaults!$A$182:$C$194,MATCH('out-of-barn'!R50,defaults!$A$182:$A$194,0),FALSE))</f>
        <v>1</v>
      </c>
      <c r="S51" s="60"/>
      <c r="T51" s="10" t="s">
        <v>231</v>
      </c>
      <c r="U51" s="25">
        <f>IF(COUNT(V51)=1,V51,HLOOKUP(U$37,defaults!$A$182:$C$194,MATCH('out-of-barn'!U50,defaults!$A$182:$A$194,0),FALSE))</f>
        <v>1</v>
      </c>
      <c r="V51" s="60"/>
      <c r="W51" s="10" t="s">
        <v>231</v>
      </c>
      <c r="X51" s="25">
        <f>IF(COUNT(Y51)=1,Y51,HLOOKUP(X$37,defaults!$A$182:$C$194,MATCH('out-of-barn'!X50,defaults!$A$182:$A$194,0),FALSE))</f>
        <v>1</v>
      </c>
      <c r="Y51" s="60"/>
      <c r="Z51" s="10" t="s">
        <v>231</v>
      </c>
      <c r="AA51" s="25">
        <f>IF(COUNT(AB51)=1,AB51,HLOOKUP(AA$37,defaults!$A$182:$C$194,MATCH('out-of-barn'!AA50,defaults!$A$182:$A$194,0),FALSE))</f>
        <v>1</v>
      </c>
      <c r="AB51" s="60"/>
      <c r="AC51" s="10" t="s">
        <v>231</v>
      </c>
      <c r="AD51" s="25">
        <f>IF(COUNT(AE51)=1,AE51,HLOOKUP(AD$37,defaults!$A$182:$C$194,MATCH('out-of-barn'!AD50,defaults!$A$182:$A$194,0),FALSE))</f>
        <v>1</v>
      </c>
      <c r="AE51" s="60"/>
    </row>
    <row r="52" spans="2:31" x14ac:dyDescent="0.25">
      <c r="B52" s="10" t="s">
        <v>232</v>
      </c>
      <c r="C52" s="36" t="s">
        <v>159</v>
      </c>
      <c r="D52" s="63"/>
      <c r="E52" s="10" t="s">
        <v>232</v>
      </c>
      <c r="F52" s="36" t="s">
        <v>159</v>
      </c>
      <c r="G52" s="63"/>
      <c r="H52" s="10" t="s">
        <v>232</v>
      </c>
      <c r="I52" s="36" t="s">
        <v>159</v>
      </c>
      <c r="J52" s="63"/>
      <c r="K52" s="10" t="s">
        <v>232</v>
      </c>
      <c r="L52" s="36" t="s">
        <v>159</v>
      </c>
      <c r="M52" s="63"/>
      <c r="N52" s="10" t="s">
        <v>232</v>
      </c>
      <c r="O52" s="36" t="s">
        <v>159</v>
      </c>
      <c r="P52" s="63"/>
      <c r="Q52" s="10" t="s">
        <v>232</v>
      </c>
      <c r="R52" s="36" t="s">
        <v>159</v>
      </c>
      <c r="S52" s="63"/>
      <c r="T52" s="10" t="s">
        <v>232</v>
      </c>
      <c r="U52" s="36" t="s">
        <v>159</v>
      </c>
      <c r="V52" s="63"/>
      <c r="W52" s="10" t="s">
        <v>232</v>
      </c>
      <c r="X52" s="36" t="s">
        <v>159</v>
      </c>
      <c r="Y52" s="63"/>
      <c r="Z52" s="10" t="s">
        <v>232</v>
      </c>
      <c r="AA52" s="36" t="s">
        <v>159</v>
      </c>
      <c r="AB52" s="63"/>
      <c r="AC52" s="10" t="s">
        <v>232</v>
      </c>
      <c r="AD52" s="36" t="s">
        <v>159</v>
      </c>
      <c r="AE52" s="63"/>
    </row>
    <row r="53" spans="2:31" x14ac:dyDescent="0.25">
      <c r="B53" s="10" t="s">
        <v>233</v>
      </c>
      <c r="C53" s="25">
        <f>IF(COUNT(D53)=1,D53,HLOOKUP(C$37,defaults!$A$182:$C$194,MATCH('out-of-barn'!C52,defaults!$A$182:$A$194,0),FALSE))</f>
        <v>3</v>
      </c>
      <c r="D53" s="60"/>
      <c r="E53" s="10" t="s">
        <v>233</v>
      </c>
      <c r="F53" s="25">
        <f>IF(COUNT(G53)=1,G53,HLOOKUP(F$37,defaults!$A$182:$C$194,MATCH('out-of-barn'!F52,defaults!$A$182:$A$194,0),FALSE))</f>
        <v>3</v>
      </c>
      <c r="G53" s="60"/>
      <c r="H53" s="10" t="s">
        <v>233</v>
      </c>
      <c r="I53" s="25">
        <f>IF(COUNT(J53)=1,J53,HLOOKUP(I$37,defaults!$A$182:$C$194,MATCH('out-of-barn'!I52,defaults!$A$182:$A$194,0),FALSE))</f>
        <v>3</v>
      </c>
      <c r="J53" s="60"/>
      <c r="K53" s="10" t="s">
        <v>233</v>
      </c>
      <c r="L53" s="25">
        <f>IF(COUNT(M53)=1,M53,HLOOKUP(L$37,defaults!$A$182:$C$194,MATCH('out-of-barn'!L52,defaults!$A$182:$A$194,0),FALSE))</f>
        <v>3</v>
      </c>
      <c r="M53" s="60"/>
      <c r="N53" s="10" t="s">
        <v>233</v>
      </c>
      <c r="O53" s="25">
        <f>IF(COUNT(P53)=1,P53,HLOOKUP(O$37,defaults!$A$182:$C$194,MATCH('out-of-barn'!O52,defaults!$A$182:$A$194,0),FALSE))</f>
        <v>3</v>
      </c>
      <c r="P53" s="60"/>
      <c r="Q53" s="10" t="s">
        <v>233</v>
      </c>
      <c r="R53" s="25">
        <f>IF(COUNT(S53)=1,S53,HLOOKUP(R$37,defaults!$A$182:$C$194,MATCH('out-of-barn'!R52,defaults!$A$182:$A$194,0),FALSE))</f>
        <v>3</v>
      </c>
      <c r="S53" s="60"/>
      <c r="T53" s="10" t="s">
        <v>233</v>
      </c>
      <c r="U53" s="25">
        <f>IF(COUNT(V53)=1,V53,HLOOKUP(U$37,defaults!$A$182:$C$194,MATCH('out-of-barn'!U52,defaults!$A$182:$A$194,0),FALSE))</f>
        <v>3</v>
      </c>
      <c r="V53" s="60"/>
      <c r="W53" s="10" t="s">
        <v>233</v>
      </c>
      <c r="X53" s="25">
        <f>IF(COUNT(Y53)=1,Y53,HLOOKUP(X$37,defaults!$A$182:$C$194,MATCH('out-of-barn'!X52,defaults!$A$182:$A$194,0),FALSE))</f>
        <v>3</v>
      </c>
      <c r="Y53" s="60"/>
      <c r="Z53" s="10" t="s">
        <v>233</v>
      </c>
      <c r="AA53" s="25">
        <f>IF(COUNT(AB53)=1,AB53,HLOOKUP(AA$37,defaults!$A$182:$C$194,MATCH('out-of-barn'!AA52,defaults!$A$182:$A$194,0),FALSE))</f>
        <v>3</v>
      </c>
      <c r="AB53" s="60"/>
      <c r="AC53" s="10" t="s">
        <v>233</v>
      </c>
      <c r="AD53" s="25">
        <f>IF(COUNT(AE53)=1,AE53,HLOOKUP(AD$37,defaults!$A$182:$C$194,MATCH('out-of-barn'!AD52,defaults!$A$182:$A$194,0),FALSE))</f>
        <v>3</v>
      </c>
      <c r="AE53" s="60"/>
    </row>
    <row r="54" spans="2:31" x14ac:dyDescent="0.25">
      <c r="B54" s="10" t="s">
        <v>234</v>
      </c>
      <c r="C54" s="36" t="s">
        <v>160</v>
      </c>
      <c r="D54" s="63"/>
      <c r="E54" s="10" t="s">
        <v>234</v>
      </c>
      <c r="F54" s="36" t="s">
        <v>160</v>
      </c>
      <c r="G54" s="63"/>
      <c r="H54" s="10" t="s">
        <v>234</v>
      </c>
      <c r="I54" s="36" t="s">
        <v>160</v>
      </c>
      <c r="J54" s="63"/>
      <c r="K54" s="10" t="s">
        <v>234</v>
      </c>
      <c r="L54" s="36" t="s">
        <v>160</v>
      </c>
      <c r="M54" s="63"/>
      <c r="N54" s="10" t="s">
        <v>234</v>
      </c>
      <c r="O54" s="36" t="s">
        <v>160</v>
      </c>
      <c r="P54" s="63"/>
      <c r="Q54" s="10" t="s">
        <v>234</v>
      </c>
      <c r="R54" s="36" t="s">
        <v>160</v>
      </c>
      <c r="S54" s="63"/>
      <c r="T54" s="10" t="s">
        <v>234</v>
      </c>
      <c r="U54" s="36" t="s">
        <v>160</v>
      </c>
      <c r="V54" s="63"/>
      <c r="W54" s="10" t="s">
        <v>234</v>
      </c>
      <c r="X54" s="36" t="s">
        <v>160</v>
      </c>
      <c r="Y54" s="63"/>
      <c r="Z54" s="10" t="s">
        <v>234</v>
      </c>
      <c r="AA54" s="36" t="s">
        <v>160</v>
      </c>
      <c r="AB54" s="63"/>
      <c r="AC54" s="10" t="s">
        <v>234</v>
      </c>
      <c r="AD54" s="36" t="s">
        <v>160</v>
      </c>
      <c r="AE54" s="63"/>
    </row>
    <row r="55" spans="2:31" x14ac:dyDescent="0.25">
      <c r="B55" s="10" t="s">
        <v>235</v>
      </c>
      <c r="C55" s="25">
        <f>IF(COUNT(D55)=1,D55,HLOOKUP(C$37,defaults!$A$182:$C$194,MATCH('out-of-barn'!C54,defaults!$A$182:$A$194,0),FALSE))</f>
        <v>3</v>
      </c>
      <c r="D55" s="60"/>
      <c r="E55" s="10" t="s">
        <v>235</v>
      </c>
      <c r="F55" s="25">
        <f>IF(COUNT(G55)=1,G55,HLOOKUP(F$37,defaults!$A$182:$C$194,MATCH('out-of-barn'!F54,defaults!$A$182:$A$194,0),FALSE))</f>
        <v>3</v>
      </c>
      <c r="G55" s="60"/>
      <c r="H55" s="10" t="s">
        <v>235</v>
      </c>
      <c r="I55" s="25">
        <f>IF(COUNT(J55)=1,J55,HLOOKUP(I$37,defaults!$A$182:$C$194,MATCH('out-of-barn'!I54,defaults!$A$182:$A$194,0),FALSE))</f>
        <v>3</v>
      </c>
      <c r="J55" s="60"/>
      <c r="K55" s="10" t="s">
        <v>235</v>
      </c>
      <c r="L55" s="25">
        <f>IF(COUNT(M55)=1,M55,HLOOKUP(L$37,defaults!$A$182:$C$194,MATCH('out-of-barn'!L54,defaults!$A$182:$A$194,0),FALSE))</f>
        <v>3</v>
      </c>
      <c r="M55" s="60"/>
      <c r="N55" s="10" t="s">
        <v>235</v>
      </c>
      <c r="O55" s="25">
        <f>IF(COUNT(P55)=1,P55,HLOOKUP(O$37,defaults!$A$182:$C$194,MATCH('out-of-barn'!O54,defaults!$A$182:$A$194,0),FALSE))</f>
        <v>3</v>
      </c>
      <c r="P55" s="60"/>
      <c r="Q55" s="10" t="s">
        <v>235</v>
      </c>
      <c r="R55" s="25">
        <f>IF(COUNT(S55)=1,S55,HLOOKUP(R$37,defaults!$A$182:$C$194,MATCH('out-of-barn'!R54,defaults!$A$182:$A$194,0),FALSE))</f>
        <v>3</v>
      </c>
      <c r="S55" s="60"/>
      <c r="T55" s="10" t="s">
        <v>235</v>
      </c>
      <c r="U55" s="25">
        <f>IF(COUNT(V55)=1,V55,HLOOKUP(U$37,defaults!$A$182:$C$194,MATCH('out-of-barn'!U54,defaults!$A$182:$A$194,0),FALSE))</f>
        <v>3</v>
      </c>
      <c r="V55" s="60"/>
      <c r="W55" s="10" t="s">
        <v>235</v>
      </c>
      <c r="X55" s="25">
        <f>IF(COUNT(Y55)=1,Y55,HLOOKUP(X$37,defaults!$A$182:$C$194,MATCH('out-of-barn'!X54,defaults!$A$182:$A$194,0),FALSE))</f>
        <v>3</v>
      </c>
      <c r="Y55" s="60"/>
      <c r="Z55" s="10" t="s">
        <v>235</v>
      </c>
      <c r="AA55" s="25">
        <f>IF(COUNT(AB55)=1,AB55,HLOOKUP(AA$37,defaults!$A$182:$C$194,MATCH('out-of-barn'!AA54,defaults!$A$182:$A$194,0),FALSE))</f>
        <v>3</v>
      </c>
      <c r="AB55" s="60"/>
      <c r="AC55" s="10" t="s">
        <v>235</v>
      </c>
      <c r="AD55" s="25">
        <f>IF(COUNT(AE55)=1,AE55,HLOOKUP(AD$37,defaults!$A$182:$C$194,MATCH('out-of-barn'!AD54,defaults!$A$182:$A$194,0),FALSE))</f>
        <v>3</v>
      </c>
      <c r="AE55" s="60"/>
    </row>
    <row r="56" spans="2:31" x14ac:dyDescent="0.25">
      <c r="B56" s="10" t="s">
        <v>236</v>
      </c>
      <c r="C56" s="36" t="s">
        <v>161</v>
      </c>
      <c r="D56" s="63"/>
      <c r="E56" s="10" t="s">
        <v>236</v>
      </c>
      <c r="F56" s="36" t="s">
        <v>161</v>
      </c>
      <c r="G56" s="63"/>
      <c r="H56" s="10" t="s">
        <v>236</v>
      </c>
      <c r="I56" s="36" t="s">
        <v>161</v>
      </c>
      <c r="J56" s="63"/>
      <c r="K56" s="10" t="s">
        <v>236</v>
      </c>
      <c r="L56" s="36" t="s">
        <v>161</v>
      </c>
      <c r="M56" s="63"/>
      <c r="N56" s="10" t="s">
        <v>236</v>
      </c>
      <c r="O56" s="36" t="s">
        <v>161</v>
      </c>
      <c r="P56" s="63"/>
      <c r="Q56" s="10" t="s">
        <v>236</v>
      </c>
      <c r="R56" s="36" t="s">
        <v>161</v>
      </c>
      <c r="S56" s="63"/>
      <c r="T56" s="10" t="s">
        <v>236</v>
      </c>
      <c r="U56" s="36" t="s">
        <v>161</v>
      </c>
      <c r="V56" s="63"/>
      <c r="W56" s="10" t="s">
        <v>236</v>
      </c>
      <c r="X56" s="36" t="s">
        <v>161</v>
      </c>
      <c r="Y56" s="63"/>
      <c r="Z56" s="10" t="s">
        <v>236</v>
      </c>
      <c r="AA56" s="36" t="s">
        <v>161</v>
      </c>
      <c r="AB56" s="63"/>
      <c r="AC56" s="10" t="s">
        <v>236</v>
      </c>
      <c r="AD56" s="36" t="s">
        <v>161</v>
      </c>
      <c r="AE56" s="63"/>
    </row>
    <row r="57" spans="2:31" x14ac:dyDescent="0.25">
      <c r="B57" s="10" t="s">
        <v>237</v>
      </c>
      <c r="C57" s="25">
        <f>IF(COUNT(D57)=1,D57,HLOOKUP(C$37,defaults!$A$182:$C$194,MATCH('out-of-barn'!C56,defaults!$A$182:$A$194,0),FALSE))</f>
        <v>1</v>
      </c>
      <c r="D57" s="60"/>
      <c r="E57" s="10" t="s">
        <v>237</v>
      </c>
      <c r="F57" s="25">
        <f>IF(COUNT(G57)=1,G57,HLOOKUP(F$37,defaults!$A$182:$C$194,MATCH('out-of-barn'!F56,defaults!$A$182:$A$194,0),FALSE))</f>
        <v>1</v>
      </c>
      <c r="G57" s="60"/>
      <c r="H57" s="10" t="s">
        <v>237</v>
      </c>
      <c r="I57" s="25">
        <f>IF(COUNT(J57)=1,J57,HLOOKUP(I$37,defaults!$A$182:$C$194,MATCH('out-of-barn'!I56,defaults!$A$182:$A$194,0),FALSE))</f>
        <v>1</v>
      </c>
      <c r="J57" s="60"/>
      <c r="K57" s="10" t="s">
        <v>237</v>
      </c>
      <c r="L57" s="25">
        <f>IF(COUNT(M57)=1,M57,HLOOKUP(L$37,defaults!$A$182:$C$194,MATCH('out-of-barn'!L56,defaults!$A$182:$A$194,0),FALSE))</f>
        <v>1</v>
      </c>
      <c r="M57" s="60"/>
      <c r="N57" s="10" t="s">
        <v>237</v>
      </c>
      <c r="O57" s="25">
        <f>IF(COUNT(P57)=1,P57,HLOOKUP(O$37,defaults!$A$182:$C$194,MATCH('out-of-barn'!O56,defaults!$A$182:$A$194,0),FALSE))</f>
        <v>1</v>
      </c>
      <c r="P57" s="60"/>
      <c r="Q57" s="10" t="s">
        <v>237</v>
      </c>
      <c r="R57" s="25">
        <f>IF(COUNT(S57)=1,S57,HLOOKUP(R$37,defaults!$A$182:$C$194,MATCH('out-of-barn'!R56,defaults!$A$182:$A$194,0),FALSE))</f>
        <v>1</v>
      </c>
      <c r="S57" s="60"/>
      <c r="T57" s="10" t="s">
        <v>237</v>
      </c>
      <c r="U57" s="25">
        <f>IF(COUNT(V57)=1,V57,HLOOKUP(U$37,defaults!$A$182:$C$194,MATCH('out-of-barn'!U56,defaults!$A$182:$A$194,0),FALSE))</f>
        <v>1</v>
      </c>
      <c r="V57" s="60"/>
      <c r="W57" s="10" t="s">
        <v>237</v>
      </c>
      <c r="X57" s="25">
        <f>IF(COUNT(Y57)=1,Y57,HLOOKUP(X$37,defaults!$A$182:$C$194,MATCH('out-of-barn'!X56,defaults!$A$182:$A$194,0),FALSE))</f>
        <v>1</v>
      </c>
      <c r="Y57" s="60"/>
      <c r="Z57" s="10" t="s">
        <v>237</v>
      </c>
      <c r="AA57" s="25">
        <f>IF(COUNT(AB57)=1,AB57,HLOOKUP(AA$37,defaults!$A$182:$C$194,MATCH('out-of-barn'!AA56,defaults!$A$182:$A$194,0),FALSE))</f>
        <v>1</v>
      </c>
      <c r="AB57" s="60"/>
      <c r="AC57" s="10" t="s">
        <v>237</v>
      </c>
      <c r="AD57" s="25">
        <f>IF(COUNT(AE57)=1,AE57,HLOOKUP(AD$37,defaults!$A$182:$C$194,MATCH('out-of-barn'!AD56,defaults!$A$182:$A$194,0),FALSE))</f>
        <v>1</v>
      </c>
      <c r="AE57" s="60"/>
    </row>
    <row r="58" spans="2:31" x14ac:dyDescent="0.25">
      <c r="B58" s="10" t="s">
        <v>238</v>
      </c>
      <c r="C58" s="36" t="s">
        <v>162</v>
      </c>
      <c r="D58" s="63"/>
      <c r="E58" s="10" t="s">
        <v>238</v>
      </c>
      <c r="F58" s="36" t="s">
        <v>162</v>
      </c>
      <c r="G58" s="63"/>
      <c r="H58" s="10" t="s">
        <v>238</v>
      </c>
      <c r="I58" s="36" t="s">
        <v>162</v>
      </c>
      <c r="J58" s="63"/>
      <c r="K58" s="10" t="s">
        <v>238</v>
      </c>
      <c r="L58" s="36" t="s">
        <v>162</v>
      </c>
      <c r="M58" s="63"/>
      <c r="N58" s="10" t="s">
        <v>238</v>
      </c>
      <c r="O58" s="36" t="s">
        <v>162</v>
      </c>
      <c r="P58" s="63"/>
      <c r="Q58" s="10" t="s">
        <v>238</v>
      </c>
      <c r="R58" s="36" t="s">
        <v>162</v>
      </c>
      <c r="S58" s="63"/>
      <c r="T58" s="10" t="s">
        <v>238</v>
      </c>
      <c r="U58" s="36" t="s">
        <v>162</v>
      </c>
      <c r="V58" s="63"/>
      <c r="W58" s="10" t="s">
        <v>238</v>
      </c>
      <c r="X58" s="36" t="s">
        <v>162</v>
      </c>
      <c r="Y58" s="63"/>
      <c r="Z58" s="10" t="s">
        <v>238</v>
      </c>
      <c r="AA58" s="36" t="s">
        <v>162</v>
      </c>
      <c r="AB58" s="63"/>
      <c r="AC58" s="10" t="s">
        <v>238</v>
      </c>
      <c r="AD58" s="36" t="s">
        <v>162</v>
      </c>
      <c r="AE58" s="63"/>
    </row>
    <row r="59" spans="2:31" x14ac:dyDescent="0.25">
      <c r="B59" s="10" t="s">
        <v>239</v>
      </c>
      <c r="C59" s="25">
        <f>IF(COUNT(D59)=1,D59,HLOOKUP(C$37,defaults!$A$182:$C$194,MATCH('out-of-barn'!C58,defaults!$A$182:$A$194,0),FALSE))</f>
        <v>0</v>
      </c>
      <c r="D59" s="60"/>
      <c r="E59" s="10" t="s">
        <v>239</v>
      </c>
      <c r="F59" s="25">
        <f>IF(COUNT(G59)=1,G59,HLOOKUP(F$37,defaults!$A$182:$C$194,MATCH('out-of-barn'!F58,defaults!$A$182:$A$194,0),FALSE))</f>
        <v>0</v>
      </c>
      <c r="G59" s="60"/>
      <c r="H59" s="10" t="s">
        <v>239</v>
      </c>
      <c r="I59" s="25">
        <f>IF(COUNT(J59)=1,J59,HLOOKUP(I$37,defaults!$A$182:$C$194,MATCH('out-of-barn'!I58,defaults!$A$182:$A$194,0),FALSE))</f>
        <v>0</v>
      </c>
      <c r="J59" s="60"/>
      <c r="K59" s="10" t="s">
        <v>239</v>
      </c>
      <c r="L59" s="25">
        <f>IF(COUNT(M59)=1,M59,HLOOKUP(L$37,defaults!$A$182:$C$194,MATCH('out-of-barn'!L58,defaults!$A$182:$A$194,0),FALSE))</f>
        <v>0</v>
      </c>
      <c r="M59" s="60"/>
      <c r="N59" s="10" t="s">
        <v>239</v>
      </c>
      <c r="O59" s="25">
        <f>IF(COUNT(P59)=1,P59,HLOOKUP(O$37,defaults!$A$182:$C$194,MATCH('out-of-barn'!O58,defaults!$A$182:$A$194,0),FALSE))</f>
        <v>0</v>
      </c>
      <c r="P59" s="60"/>
      <c r="Q59" s="10" t="s">
        <v>239</v>
      </c>
      <c r="R59" s="25">
        <f>IF(COUNT(S59)=1,S59,HLOOKUP(R$37,defaults!$A$182:$C$194,MATCH('out-of-barn'!R58,defaults!$A$182:$A$194,0),FALSE))</f>
        <v>0</v>
      </c>
      <c r="S59" s="60"/>
      <c r="T59" s="10" t="s">
        <v>239</v>
      </c>
      <c r="U59" s="25">
        <f>IF(COUNT(V59)=1,V59,HLOOKUP(U$37,defaults!$A$182:$C$194,MATCH('out-of-barn'!U58,defaults!$A$182:$A$194,0),FALSE))</f>
        <v>0</v>
      </c>
      <c r="V59" s="60"/>
      <c r="W59" s="10" t="s">
        <v>239</v>
      </c>
      <c r="X59" s="25">
        <f>IF(COUNT(Y59)=1,Y59,HLOOKUP(X$37,defaults!$A$182:$C$194,MATCH('out-of-barn'!X58,defaults!$A$182:$A$194,0),FALSE))</f>
        <v>0</v>
      </c>
      <c r="Y59" s="60"/>
      <c r="Z59" s="10" t="s">
        <v>239</v>
      </c>
      <c r="AA59" s="25">
        <f>IF(COUNT(AB59)=1,AB59,HLOOKUP(AA$37,defaults!$A$182:$C$194,MATCH('out-of-barn'!AA58,defaults!$A$182:$A$194,0),FALSE))</f>
        <v>0</v>
      </c>
      <c r="AB59" s="60"/>
      <c r="AC59" s="10" t="s">
        <v>239</v>
      </c>
      <c r="AD59" s="25">
        <f>IF(COUNT(AE59)=1,AE59,HLOOKUP(AD$37,defaults!$A$182:$C$194,MATCH('out-of-barn'!AD58,defaults!$A$182:$A$194,0),FALSE))</f>
        <v>0</v>
      </c>
      <c r="AE59" s="60"/>
    </row>
    <row r="60" spans="2:31" x14ac:dyDescent="0.25">
      <c r="B60" s="10" t="s">
        <v>240</v>
      </c>
      <c r="C60" s="36" t="s">
        <v>163</v>
      </c>
      <c r="D60" s="63"/>
      <c r="E60" s="10" t="s">
        <v>240</v>
      </c>
      <c r="F60" s="36" t="s">
        <v>163</v>
      </c>
      <c r="G60" s="63"/>
      <c r="H60" s="10" t="s">
        <v>240</v>
      </c>
      <c r="I60" s="36" t="s">
        <v>163</v>
      </c>
      <c r="J60" s="63"/>
      <c r="K60" s="10" t="s">
        <v>240</v>
      </c>
      <c r="L60" s="36" t="s">
        <v>163</v>
      </c>
      <c r="M60" s="63"/>
      <c r="N60" s="10" t="s">
        <v>240</v>
      </c>
      <c r="O60" s="36" t="s">
        <v>163</v>
      </c>
      <c r="P60" s="63"/>
      <c r="Q60" s="10" t="s">
        <v>240</v>
      </c>
      <c r="R60" s="36" t="s">
        <v>163</v>
      </c>
      <c r="S60" s="63"/>
      <c r="T60" s="10" t="s">
        <v>240</v>
      </c>
      <c r="U60" s="36" t="s">
        <v>163</v>
      </c>
      <c r="V60" s="63"/>
      <c r="W60" s="10" t="s">
        <v>240</v>
      </c>
      <c r="X60" s="36" t="s">
        <v>163</v>
      </c>
      <c r="Y60" s="63"/>
      <c r="Z60" s="10" t="s">
        <v>240</v>
      </c>
      <c r="AA60" s="36" t="s">
        <v>163</v>
      </c>
      <c r="AB60" s="63"/>
      <c r="AC60" s="10" t="s">
        <v>240</v>
      </c>
      <c r="AD60" s="36" t="s">
        <v>163</v>
      </c>
      <c r="AE60" s="63"/>
    </row>
    <row r="61" spans="2:31" x14ac:dyDescent="0.25">
      <c r="B61" s="10" t="s">
        <v>241</v>
      </c>
      <c r="C61" s="25">
        <f>IF(COUNT(D61)=1,D61,HLOOKUP(C$37,defaults!$A$182:$C$194,MATCH('out-of-barn'!C60,defaults!$A$182:$A$194,0),FALSE))</f>
        <v>0</v>
      </c>
      <c r="D61" s="60"/>
      <c r="E61" s="10" t="s">
        <v>241</v>
      </c>
      <c r="F61" s="25">
        <f>IF(COUNT(G61)=1,G61,HLOOKUP(F$37,defaults!$A$182:$C$194,MATCH('out-of-barn'!F60,defaults!$A$182:$A$194,0),FALSE))</f>
        <v>0</v>
      </c>
      <c r="G61" s="60"/>
      <c r="H61" s="10" t="s">
        <v>241</v>
      </c>
      <c r="I61" s="25">
        <f>IF(COUNT(J61)=1,J61,HLOOKUP(I$37,defaults!$A$182:$C$194,MATCH('out-of-barn'!I60,defaults!$A$182:$A$194,0),FALSE))</f>
        <v>0</v>
      </c>
      <c r="J61" s="60"/>
      <c r="K61" s="10" t="s">
        <v>241</v>
      </c>
      <c r="L61" s="25">
        <f>IF(COUNT(M61)=1,M61,HLOOKUP(L$37,defaults!$A$182:$C$194,MATCH('out-of-barn'!L60,defaults!$A$182:$A$194,0),FALSE))</f>
        <v>0</v>
      </c>
      <c r="M61" s="60"/>
      <c r="N61" s="10" t="s">
        <v>241</v>
      </c>
      <c r="O61" s="25">
        <f>IF(COUNT(P61)=1,P61,HLOOKUP(O$37,defaults!$A$182:$C$194,MATCH('out-of-barn'!O60,defaults!$A$182:$A$194,0),FALSE))</f>
        <v>0</v>
      </c>
      <c r="P61" s="60"/>
      <c r="Q61" s="10" t="s">
        <v>241</v>
      </c>
      <c r="R61" s="25">
        <f>IF(COUNT(S61)=1,S61,HLOOKUP(R$37,defaults!$A$182:$C$194,MATCH('out-of-barn'!R60,defaults!$A$182:$A$194,0),FALSE))</f>
        <v>0</v>
      </c>
      <c r="S61" s="60"/>
      <c r="T61" s="10" t="s">
        <v>241</v>
      </c>
      <c r="U61" s="25">
        <f>IF(COUNT(V61)=1,V61,HLOOKUP(U$37,defaults!$A$182:$C$194,MATCH('out-of-barn'!U60,defaults!$A$182:$A$194,0),FALSE))</f>
        <v>0</v>
      </c>
      <c r="V61" s="60"/>
      <c r="W61" s="10" t="s">
        <v>241</v>
      </c>
      <c r="X61" s="25">
        <f>IF(COUNT(Y61)=1,Y61,HLOOKUP(X$37,defaults!$A$182:$C$194,MATCH('out-of-barn'!X60,defaults!$A$182:$A$194,0),FALSE))</f>
        <v>0</v>
      </c>
      <c r="Y61" s="60"/>
      <c r="Z61" s="10" t="s">
        <v>241</v>
      </c>
      <c r="AA61" s="25">
        <f>IF(COUNT(AB61)=1,AB61,HLOOKUP(AA$37,defaults!$A$182:$C$194,MATCH('out-of-barn'!AA60,defaults!$A$182:$A$194,0),FALSE))</f>
        <v>0</v>
      </c>
      <c r="AB61" s="60"/>
      <c r="AC61" s="10" t="s">
        <v>241</v>
      </c>
      <c r="AD61" s="25">
        <f>IF(COUNT(AE61)=1,AE61,HLOOKUP(AD$37,defaults!$A$182:$C$194,MATCH('out-of-barn'!AD60,defaults!$A$182:$A$194,0),FALSE))</f>
        <v>0</v>
      </c>
      <c r="AE61" s="60"/>
    </row>
    <row r="62" spans="2:31" x14ac:dyDescent="0.25">
      <c r="B62" s="10" t="s">
        <v>242</v>
      </c>
      <c r="C62" s="25">
        <f>SUM(C39,C41,C43,C45,C47,C49,C51,C53,C55,C57,C59,C61)</f>
        <v>100</v>
      </c>
      <c r="D62" s="68"/>
      <c r="E62" s="10" t="s">
        <v>242</v>
      </c>
      <c r="F62" s="25">
        <f>SUM(F39,F41,F43,F45,F47,F49,F51,F53,F55,F57,F59,F61)</f>
        <v>100</v>
      </c>
      <c r="G62" s="68"/>
      <c r="H62" s="10" t="s">
        <v>242</v>
      </c>
      <c r="I62" s="25">
        <f>SUM(I39,I41,I43,I45,I47,I49,I51,I53,I55,I57,I59,I61)</f>
        <v>100</v>
      </c>
      <c r="J62" s="68"/>
      <c r="K62" s="10" t="s">
        <v>242</v>
      </c>
      <c r="L62" s="25">
        <f>SUM(L39,L41,L43,L45,L47,L49,L51,L53,L55,L57,L59,L61)</f>
        <v>100</v>
      </c>
      <c r="M62" s="68"/>
      <c r="N62" s="10" t="s">
        <v>242</v>
      </c>
      <c r="O62" s="25">
        <f>SUM(O39,O41,O43,O45,O47,O49,O51,O53,O55,O57,O59,O61)</f>
        <v>100</v>
      </c>
      <c r="P62" s="68"/>
      <c r="Q62" s="10" t="s">
        <v>242</v>
      </c>
      <c r="R62" s="25">
        <f>SUM(R39,R41,R43,R45,R47,R49,R51,R53,R55,R57,R59,R61)</f>
        <v>100</v>
      </c>
      <c r="S62" s="68"/>
      <c r="T62" s="10" t="s">
        <v>242</v>
      </c>
      <c r="U62" s="25">
        <f>SUM(U39,U41,U43,U45,U47,U49,U51,U53,U55,U57,U59,U61)</f>
        <v>100</v>
      </c>
      <c r="V62" s="68"/>
      <c r="W62" s="10" t="s">
        <v>242</v>
      </c>
      <c r="X62" s="25">
        <f>SUM(X39,X41,X43,X45,X47,X49,X51,X53,X55,X57,X59,X61)</f>
        <v>100</v>
      </c>
      <c r="Y62" s="68"/>
      <c r="Z62" s="10" t="s">
        <v>242</v>
      </c>
      <c r="AA62" s="25">
        <f>SUM(AA39,AA41,AA43,AA45,AA47,AA49,AA51,AA53,AA55,AA57,AA59,AA61)</f>
        <v>100</v>
      </c>
      <c r="AB62" s="68"/>
      <c r="AC62" s="10" t="s">
        <v>242</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243</v>
      </c>
      <c r="C64" s="25"/>
      <c r="D64" s="62"/>
      <c r="E64" s="24" t="s">
        <v>243</v>
      </c>
      <c r="F64" s="25"/>
      <c r="G64" s="62"/>
      <c r="H64" s="24" t="s">
        <v>243</v>
      </c>
      <c r="I64" s="25"/>
      <c r="J64" s="62"/>
      <c r="K64" s="24" t="s">
        <v>243</v>
      </c>
      <c r="L64" s="25"/>
      <c r="M64" s="62"/>
      <c r="N64" s="24" t="s">
        <v>243</v>
      </c>
      <c r="O64" s="25"/>
      <c r="P64" s="62"/>
      <c r="Q64" s="24" t="s">
        <v>243</v>
      </c>
      <c r="R64" s="25"/>
      <c r="S64" s="62"/>
      <c r="T64" s="24" t="s">
        <v>243</v>
      </c>
      <c r="U64" s="25"/>
      <c r="V64" s="62"/>
      <c r="W64" s="24" t="s">
        <v>243</v>
      </c>
      <c r="X64" s="25"/>
      <c r="Y64" s="62"/>
      <c r="Z64" s="24" t="s">
        <v>243</v>
      </c>
      <c r="AA64" s="25"/>
      <c r="AB64" s="62"/>
      <c r="AC64" s="24" t="s">
        <v>243</v>
      </c>
      <c r="AD64" s="25"/>
      <c r="AE64" s="62"/>
    </row>
    <row r="65" spans="2:31" x14ac:dyDescent="0.25">
      <c r="B65" s="10" t="s">
        <v>244</v>
      </c>
      <c r="C65" s="25" t="str">
        <f>IF(ISBLANK(D65),"pig",D65)</f>
        <v>pig</v>
      </c>
      <c r="D65" s="63" t="s">
        <v>131</v>
      </c>
      <c r="E65" s="10" t="s">
        <v>244</v>
      </c>
      <c r="F65" s="25" t="str">
        <f>IF(ISBLANK(G65),"pig",G65)</f>
        <v>pig</v>
      </c>
      <c r="G65" s="63" t="s">
        <v>131</v>
      </c>
      <c r="H65" s="10" t="s">
        <v>244</v>
      </c>
      <c r="I65" s="25" t="str">
        <f>IF(ISBLANK(J65),"pig",J65)</f>
        <v>pig</v>
      </c>
      <c r="J65" s="63" t="s">
        <v>131</v>
      </c>
      <c r="K65" s="10" t="s">
        <v>244</v>
      </c>
      <c r="L65" s="25" t="str">
        <f>IF(ISBLANK(M65),"pig",M65)</f>
        <v>pig</v>
      </c>
      <c r="M65" s="63" t="s">
        <v>131</v>
      </c>
      <c r="N65" s="10" t="s">
        <v>244</v>
      </c>
      <c r="O65" s="25" t="str">
        <f>IF(ISBLANK(P65),"pig",P65)</f>
        <v>pig</v>
      </c>
      <c r="P65" s="63" t="s">
        <v>131</v>
      </c>
      <c r="Q65" s="10" t="s">
        <v>244</v>
      </c>
      <c r="R65" s="25" t="str">
        <f>IF(ISBLANK(S65),"pig",S65)</f>
        <v>pig</v>
      </c>
      <c r="S65" s="63" t="s">
        <v>131</v>
      </c>
      <c r="T65" s="10" t="s">
        <v>244</v>
      </c>
      <c r="U65" s="25" t="str">
        <f>IF(ISBLANK(V65),"pig",V65)</f>
        <v>pig</v>
      </c>
      <c r="V65" s="63" t="s">
        <v>131</v>
      </c>
      <c r="W65" s="10" t="s">
        <v>244</v>
      </c>
      <c r="X65" s="25" t="str">
        <f>IF(ISBLANK(Y65),"pig",Y65)</f>
        <v>pig</v>
      </c>
      <c r="Y65" s="63" t="s">
        <v>131</v>
      </c>
      <c r="Z65" s="10" t="s">
        <v>244</v>
      </c>
      <c r="AA65" s="25" t="str">
        <f>IF(ISBLANK(AB65),"pig",AB65)</f>
        <v>pig</v>
      </c>
      <c r="AB65" s="63" t="s">
        <v>131</v>
      </c>
      <c r="AC65" s="10" t="s">
        <v>244</v>
      </c>
      <c r="AD65" s="25" t="str">
        <f>IF(ISBLANK(AE65),"pig",AE65)</f>
        <v>pig</v>
      </c>
      <c r="AE65" s="63" t="s">
        <v>131</v>
      </c>
    </row>
    <row r="66" spans="2:31" x14ac:dyDescent="0.25">
      <c r="B66" s="10" t="s">
        <v>245</v>
      </c>
      <c r="C66" s="36" t="s">
        <v>152</v>
      </c>
      <c r="D66" s="63"/>
      <c r="E66" s="10" t="s">
        <v>245</v>
      </c>
      <c r="F66" s="36" t="s">
        <v>152</v>
      </c>
      <c r="G66" s="63"/>
      <c r="H66" s="10" t="s">
        <v>245</v>
      </c>
      <c r="I66" s="36" t="s">
        <v>152</v>
      </c>
      <c r="J66" s="63"/>
      <c r="K66" s="10" t="s">
        <v>245</v>
      </c>
      <c r="L66" s="36" t="s">
        <v>152</v>
      </c>
      <c r="M66" s="63"/>
      <c r="N66" s="10" t="s">
        <v>245</v>
      </c>
      <c r="O66" s="36" t="s">
        <v>152</v>
      </c>
      <c r="P66" s="63"/>
      <c r="Q66" s="10" t="s">
        <v>245</v>
      </c>
      <c r="R66" s="36" t="s">
        <v>152</v>
      </c>
      <c r="S66" s="63"/>
      <c r="T66" s="10" t="s">
        <v>245</v>
      </c>
      <c r="U66" s="36" t="s">
        <v>152</v>
      </c>
      <c r="V66" s="63"/>
      <c r="W66" s="10" t="s">
        <v>245</v>
      </c>
      <c r="X66" s="36" t="s">
        <v>152</v>
      </c>
      <c r="Y66" s="63"/>
      <c r="Z66" s="10" t="s">
        <v>245</v>
      </c>
      <c r="AA66" s="36" t="s">
        <v>152</v>
      </c>
      <c r="AB66" s="63"/>
      <c r="AC66" s="10" t="s">
        <v>245</v>
      </c>
      <c r="AD66" s="36" t="s">
        <v>152</v>
      </c>
      <c r="AE66" s="63"/>
    </row>
    <row r="67" spans="2:31" x14ac:dyDescent="0.25">
      <c r="B67" s="10" t="s">
        <v>246</v>
      </c>
      <c r="C67" s="25">
        <f>IF(COUNT(D67)=1,D67,HLOOKUP(C$65,defaults!$A$182:$C$194,MATCH('out-of-barn'!C66,defaults!$A$182:$A$194,0),FALSE))</f>
        <v>0</v>
      </c>
      <c r="D67" s="60"/>
      <c r="E67" s="10" t="s">
        <v>246</v>
      </c>
      <c r="F67" s="25">
        <f>IF(COUNT(G67)=1,G67,HLOOKUP(F$65,defaults!$A$182:$C$194,MATCH('out-of-barn'!F66,defaults!$A$182:$A$194,0),FALSE))</f>
        <v>0</v>
      </c>
      <c r="G67" s="60"/>
      <c r="H67" s="10" t="s">
        <v>246</v>
      </c>
      <c r="I67" s="25">
        <f>IF(COUNT(J67)=1,J67,HLOOKUP(I$65,defaults!$A$182:$C$194,MATCH('out-of-barn'!I66,defaults!$A$182:$A$194,0),FALSE))</f>
        <v>0</v>
      </c>
      <c r="J67" s="60"/>
      <c r="K67" s="10" t="s">
        <v>246</v>
      </c>
      <c r="L67" s="25">
        <f>IF(COUNT(M67)=1,M67,HLOOKUP(L$65,defaults!$A$182:$C$194,MATCH('out-of-barn'!L66,defaults!$A$182:$A$194,0),FALSE))</f>
        <v>0</v>
      </c>
      <c r="M67" s="60"/>
      <c r="N67" s="10" t="s">
        <v>246</v>
      </c>
      <c r="O67" s="25">
        <f>IF(COUNT(P67)=1,P67,HLOOKUP(O$65,defaults!$A$182:$C$194,MATCH('out-of-barn'!O66,defaults!$A$182:$A$194,0),FALSE))</f>
        <v>0</v>
      </c>
      <c r="P67" s="60"/>
      <c r="Q67" s="10" t="s">
        <v>246</v>
      </c>
      <c r="R67" s="25">
        <f>IF(COUNT(S67)=1,S67,HLOOKUP(R$65,defaults!$A$182:$C$194,MATCH('out-of-barn'!R66,defaults!$A$182:$A$194,0),FALSE))</f>
        <v>0</v>
      </c>
      <c r="S67" s="60"/>
      <c r="T67" s="10" t="s">
        <v>246</v>
      </c>
      <c r="U67" s="25">
        <f>IF(COUNT(V67)=1,V67,HLOOKUP(U$65,defaults!$A$182:$C$194,MATCH('out-of-barn'!U66,defaults!$A$182:$A$194,0),FALSE))</f>
        <v>0</v>
      </c>
      <c r="V67" s="60"/>
      <c r="W67" s="10" t="s">
        <v>246</v>
      </c>
      <c r="X67" s="25">
        <f>IF(COUNT(Y67)=1,Y67,HLOOKUP(X$65,defaults!$A$182:$C$194,MATCH('out-of-barn'!X66,defaults!$A$182:$A$194,0),FALSE))</f>
        <v>0</v>
      </c>
      <c r="Y67" s="60"/>
      <c r="Z67" s="10" t="s">
        <v>246</v>
      </c>
      <c r="AA67" s="25">
        <f>IF(COUNT(AB67)=1,AB67,HLOOKUP(AA$65,defaults!$A$182:$C$194,MATCH('out-of-barn'!AA66,defaults!$A$182:$A$194,0),FALSE))</f>
        <v>0</v>
      </c>
      <c r="AB67" s="60"/>
      <c r="AC67" s="10" t="s">
        <v>246</v>
      </c>
      <c r="AD67" s="25">
        <f>IF(COUNT(AE67)=1,AE67,HLOOKUP(AD$65,defaults!$A$182:$C$194,MATCH('out-of-barn'!AD66,defaults!$A$182:$A$194,0),FALSE))</f>
        <v>0</v>
      </c>
      <c r="AE67" s="60"/>
    </row>
    <row r="68" spans="2:31" x14ac:dyDescent="0.25">
      <c r="B68" s="10" t="s">
        <v>247</v>
      </c>
      <c r="C68" s="36" t="s">
        <v>153</v>
      </c>
      <c r="D68" s="63"/>
      <c r="E68" s="10" t="s">
        <v>247</v>
      </c>
      <c r="F68" s="36" t="s">
        <v>153</v>
      </c>
      <c r="G68" s="63"/>
      <c r="H68" s="10" t="s">
        <v>247</v>
      </c>
      <c r="I68" s="36" t="s">
        <v>153</v>
      </c>
      <c r="J68" s="63"/>
      <c r="K68" s="10" t="s">
        <v>247</v>
      </c>
      <c r="L68" s="36" t="s">
        <v>153</v>
      </c>
      <c r="M68" s="63"/>
      <c r="N68" s="10" t="s">
        <v>247</v>
      </c>
      <c r="O68" s="36" t="s">
        <v>153</v>
      </c>
      <c r="P68" s="63"/>
      <c r="Q68" s="10" t="s">
        <v>247</v>
      </c>
      <c r="R68" s="36" t="s">
        <v>153</v>
      </c>
      <c r="S68" s="63"/>
      <c r="T68" s="10" t="s">
        <v>247</v>
      </c>
      <c r="U68" s="36" t="s">
        <v>153</v>
      </c>
      <c r="V68" s="63"/>
      <c r="W68" s="10" t="s">
        <v>247</v>
      </c>
      <c r="X68" s="36" t="s">
        <v>153</v>
      </c>
      <c r="Y68" s="63"/>
      <c r="Z68" s="10" t="s">
        <v>247</v>
      </c>
      <c r="AA68" s="36" t="s">
        <v>153</v>
      </c>
      <c r="AB68" s="63"/>
      <c r="AC68" s="10" t="s">
        <v>247</v>
      </c>
      <c r="AD68" s="36" t="s">
        <v>153</v>
      </c>
      <c r="AE68" s="63"/>
    </row>
    <row r="69" spans="2:31" x14ac:dyDescent="0.25">
      <c r="B69" s="10" t="s">
        <v>248</v>
      </c>
      <c r="C69" s="25">
        <f>IF(COUNT(D69)=1,D69,HLOOKUP(C$65,defaults!$A$182:$C$194,MATCH('out-of-barn'!C68,defaults!$A$182:$A$194,0),FALSE))</f>
        <v>2</v>
      </c>
      <c r="D69" s="60"/>
      <c r="E69" s="10" t="s">
        <v>248</v>
      </c>
      <c r="F69" s="25">
        <f>IF(COUNT(G69)=1,G69,HLOOKUP(F$65,defaults!$A$182:$C$194,MATCH('out-of-barn'!F68,defaults!$A$182:$A$194,0),FALSE))</f>
        <v>2</v>
      </c>
      <c r="G69" s="60"/>
      <c r="H69" s="10" t="s">
        <v>248</v>
      </c>
      <c r="I69" s="25">
        <f>IF(COUNT(J69)=1,J69,HLOOKUP(I$65,defaults!$A$182:$C$194,MATCH('out-of-barn'!I68,defaults!$A$182:$A$194,0),FALSE))</f>
        <v>2</v>
      </c>
      <c r="J69" s="60"/>
      <c r="K69" s="10" t="s">
        <v>248</v>
      </c>
      <c r="L69" s="25">
        <f>IF(COUNT(M69)=1,M69,HLOOKUP(L$65,defaults!$A$182:$C$194,MATCH('out-of-barn'!L68,defaults!$A$182:$A$194,0),FALSE))</f>
        <v>2</v>
      </c>
      <c r="M69" s="60"/>
      <c r="N69" s="10" t="s">
        <v>248</v>
      </c>
      <c r="O69" s="25">
        <f>IF(COUNT(P69)=1,P69,HLOOKUP(O$65,defaults!$A$182:$C$194,MATCH('out-of-barn'!O68,defaults!$A$182:$A$194,0),FALSE))</f>
        <v>2</v>
      </c>
      <c r="P69" s="60"/>
      <c r="Q69" s="10" t="s">
        <v>248</v>
      </c>
      <c r="R69" s="25">
        <f>IF(COUNT(S69)=1,S69,HLOOKUP(R$65,defaults!$A$182:$C$194,MATCH('out-of-barn'!R68,defaults!$A$182:$A$194,0),FALSE))</f>
        <v>2</v>
      </c>
      <c r="S69" s="60"/>
      <c r="T69" s="10" t="s">
        <v>248</v>
      </c>
      <c r="U69" s="25">
        <f>IF(COUNT(V69)=1,V69,HLOOKUP(U$65,defaults!$A$182:$C$194,MATCH('out-of-barn'!U68,defaults!$A$182:$A$194,0),FALSE))</f>
        <v>2</v>
      </c>
      <c r="V69" s="60"/>
      <c r="W69" s="10" t="s">
        <v>248</v>
      </c>
      <c r="X69" s="25">
        <f>IF(COUNT(Y69)=1,Y69,HLOOKUP(X$65,defaults!$A$182:$C$194,MATCH('out-of-barn'!X68,defaults!$A$182:$A$194,0),FALSE))</f>
        <v>2</v>
      </c>
      <c r="Y69" s="60"/>
      <c r="Z69" s="10" t="s">
        <v>248</v>
      </c>
      <c r="AA69" s="25">
        <f>IF(COUNT(AB69)=1,AB69,HLOOKUP(AA$65,defaults!$A$182:$C$194,MATCH('out-of-barn'!AA68,defaults!$A$182:$A$194,0),FALSE))</f>
        <v>2</v>
      </c>
      <c r="AB69" s="60"/>
      <c r="AC69" s="10" t="s">
        <v>248</v>
      </c>
      <c r="AD69" s="25">
        <f>IF(COUNT(AE69)=1,AE69,HLOOKUP(AD$65,defaults!$A$182:$C$194,MATCH('out-of-barn'!AD68,defaults!$A$182:$A$194,0),FALSE))</f>
        <v>2</v>
      </c>
      <c r="AE69" s="60"/>
    </row>
    <row r="70" spans="2:31" x14ac:dyDescent="0.25">
      <c r="B70" s="10" t="s">
        <v>249</v>
      </c>
      <c r="C70" s="36" t="s">
        <v>154</v>
      </c>
      <c r="D70" s="63"/>
      <c r="E70" s="10" t="s">
        <v>249</v>
      </c>
      <c r="F70" s="36" t="s">
        <v>154</v>
      </c>
      <c r="G70" s="63"/>
      <c r="H70" s="10" t="s">
        <v>249</v>
      </c>
      <c r="I70" s="36" t="s">
        <v>154</v>
      </c>
      <c r="J70" s="63"/>
      <c r="K70" s="10" t="s">
        <v>249</v>
      </c>
      <c r="L70" s="36" t="s">
        <v>154</v>
      </c>
      <c r="M70" s="63"/>
      <c r="N70" s="10" t="s">
        <v>249</v>
      </c>
      <c r="O70" s="36" t="s">
        <v>154</v>
      </c>
      <c r="P70" s="63"/>
      <c r="Q70" s="10" t="s">
        <v>249</v>
      </c>
      <c r="R70" s="36" t="s">
        <v>154</v>
      </c>
      <c r="S70" s="63"/>
      <c r="T70" s="10" t="s">
        <v>249</v>
      </c>
      <c r="U70" s="36" t="s">
        <v>154</v>
      </c>
      <c r="V70" s="63"/>
      <c r="W70" s="10" t="s">
        <v>249</v>
      </c>
      <c r="X70" s="36" t="s">
        <v>154</v>
      </c>
      <c r="Y70" s="63"/>
      <c r="Z70" s="10" t="s">
        <v>249</v>
      </c>
      <c r="AA70" s="36" t="s">
        <v>154</v>
      </c>
      <c r="AB70" s="63"/>
      <c r="AC70" s="10" t="s">
        <v>249</v>
      </c>
      <c r="AD70" s="36" t="s">
        <v>154</v>
      </c>
      <c r="AE70" s="63"/>
    </row>
    <row r="71" spans="2:31" x14ac:dyDescent="0.25">
      <c r="B71" s="10" t="s">
        <v>250</v>
      </c>
      <c r="C71" s="25">
        <f>IF(COUNT(D71)=1,D71,HLOOKUP(C$65,defaults!$A$182:$C$194,MATCH('out-of-barn'!C70,defaults!$A$182:$A$194,0),FALSE))</f>
        <v>21</v>
      </c>
      <c r="D71" s="60"/>
      <c r="E71" s="10" t="s">
        <v>250</v>
      </c>
      <c r="F71" s="25">
        <f>IF(COUNT(G71)=1,G71,HLOOKUP(F$65,defaults!$A$182:$C$194,MATCH('out-of-barn'!F70,defaults!$A$182:$A$194,0),FALSE))</f>
        <v>21</v>
      </c>
      <c r="G71" s="60"/>
      <c r="H71" s="10" t="s">
        <v>250</v>
      </c>
      <c r="I71" s="25">
        <f>IF(COUNT(J71)=1,J71,HLOOKUP(I$65,defaults!$A$182:$C$194,MATCH('out-of-barn'!I70,defaults!$A$182:$A$194,0),FALSE))</f>
        <v>21</v>
      </c>
      <c r="J71" s="60"/>
      <c r="K71" s="10" t="s">
        <v>250</v>
      </c>
      <c r="L71" s="25">
        <f>IF(COUNT(M71)=1,M71,HLOOKUP(L$65,defaults!$A$182:$C$194,MATCH('out-of-barn'!L70,defaults!$A$182:$A$194,0),FALSE))</f>
        <v>21</v>
      </c>
      <c r="M71" s="60"/>
      <c r="N71" s="10" t="s">
        <v>250</v>
      </c>
      <c r="O71" s="25">
        <f>IF(COUNT(P71)=1,P71,HLOOKUP(O$65,defaults!$A$182:$C$194,MATCH('out-of-barn'!O70,defaults!$A$182:$A$194,0),FALSE))</f>
        <v>21</v>
      </c>
      <c r="P71" s="60"/>
      <c r="Q71" s="10" t="s">
        <v>250</v>
      </c>
      <c r="R71" s="25">
        <f>IF(COUNT(S71)=1,S71,HLOOKUP(R$65,defaults!$A$182:$C$194,MATCH('out-of-barn'!R70,defaults!$A$182:$A$194,0),FALSE))</f>
        <v>21</v>
      </c>
      <c r="S71" s="60"/>
      <c r="T71" s="10" t="s">
        <v>250</v>
      </c>
      <c r="U71" s="25">
        <f>IF(COUNT(V71)=1,V71,HLOOKUP(U$65,defaults!$A$182:$C$194,MATCH('out-of-barn'!U70,defaults!$A$182:$A$194,0),FALSE))</f>
        <v>21</v>
      </c>
      <c r="V71" s="60"/>
      <c r="W71" s="10" t="s">
        <v>250</v>
      </c>
      <c r="X71" s="25">
        <f>IF(COUNT(Y71)=1,Y71,HLOOKUP(X$65,defaults!$A$182:$C$194,MATCH('out-of-barn'!X70,defaults!$A$182:$A$194,0),FALSE))</f>
        <v>21</v>
      </c>
      <c r="Y71" s="60"/>
      <c r="Z71" s="10" t="s">
        <v>250</v>
      </c>
      <c r="AA71" s="25">
        <f>IF(COUNT(AB71)=1,AB71,HLOOKUP(AA$65,defaults!$A$182:$C$194,MATCH('out-of-barn'!AA70,defaults!$A$182:$A$194,0),FALSE))</f>
        <v>21</v>
      </c>
      <c r="AB71" s="60"/>
      <c r="AC71" s="10" t="s">
        <v>250</v>
      </c>
      <c r="AD71" s="25">
        <f>IF(COUNT(AE71)=1,AE71,HLOOKUP(AD$65,defaults!$A$182:$C$194,MATCH('out-of-barn'!AD70,defaults!$A$182:$A$194,0),FALSE))</f>
        <v>21</v>
      </c>
      <c r="AE71" s="60"/>
    </row>
    <row r="72" spans="2:31" x14ac:dyDescent="0.25">
      <c r="B72" s="10" t="s">
        <v>251</v>
      </c>
      <c r="C72" s="36" t="s">
        <v>155</v>
      </c>
      <c r="D72" s="63"/>
      <c r="E72" s="10" t="s">
        <v>251</v>
      </c>
      <c r="F72" s="36" t="s">
        <v>155</v>
      </c>
      <c r="G72" s="63"/>
      <c r="H72" s="10" t="s">
        <v>251</v>
      </c>
      <c r="I72" s="36" t="s">
        <v>155</v>
      </c>
      <c r="J72" s="63"/>
      <c r="K72" s="10" t="s">
        <v>251</v>
      </c>
      <c r="L72" s="36" t="s">
        <v>155</v>
      </c>
      <c r="M72" s="63"/>
      <c r="N72" s="10" t="s">
        <v>251</v>
      </c>
      <c r="O72" s="36" t="s">
        <v>155</v>
      </c>
      <c r="P72" s="63"/>
      <c r="Q72" s="10" t="s">
        <v>251</v>
      </c>
      <c r="R72" s="36" t="s">
        <v>155</v>
      </c>
      <c r="S72" s="63"/>
      <c r="T72" s="10" t="s">
        <v>251</v>
      </c>
      <c r="U72" s="36" t="s">
        <v>155</v>
      </c>
      <c r="V72" s="63"/>
      <c r="W72" s="10" t="s">
        <v>251</v>
      </c>
      <c r="X72" s="36" t="s">
        <v>155</v>
      </c>
      <c r="Y72" s="63"/>
      <c r="Z72" s="10" t="s">
        <v>251</v>
      </c>
      <c r="AA72" s="36" t="s">
        <v>155</v>
      </c>
      <c r="AB72" s="63"/>
      <c r="AC72" s="10" t="s">
        <v>251</v>
      </c>
      <c r="AD72" s="36" t="s">
        <v>155</v>
      </c>
      <c r="AE72" s="63"/>
    </row>
    <row r="73" spans="2:31" x14ac:dyDescent="0.25">
      <c r="B73" s="10" t="s">
        <v>252</v>
      </c>
      <c r="C73" s="25">
        <f>IF(COUNT(D73)=1,D73,HLOOKUP(C$65,defaults!$A$182:$C$194,MATCH('out-of-barn'!C72,defaults!$A$182:$A$194,0),FALSE))</f>
        <v>58</v>
      </c>
      <c r="D73" s="60"/>
      <c r="E73" s="10" t="s">
        <v>252</v>
      </c>
      <c r="F73" s="25">
        <f>IF(COUNT(G73)=1,G73,HLOOKUP(F$65,defaults!$A$182:$C$194,MATCH('out-of-barn'!F72,defaults!$A$182:$A$194,0),FALSE))</f>
        <v>58</v>
      </c>
      <c r="G73" s="60"/>
      <c r="H73" s="10" t="s">
        <v>252</v>
      </c>
      <c r="I73" s="25">
        <f>IF(COUNT(J73)=1,J73,HLOOKUP(I$65,defaults!$A$182:$C$194,MATCH('out-of-barn'!I72,defaults!$A$182:$A$194,0),FALSE))</f>
        <v>58</v>
      </c>
      <c r="J73" s="60"/>
      <c r="K73" s="10" t="s">
        <v>252</v>
      </c>
      <c r="L73" s="25">
        <f>IF(COUNT(M73)=1,M73,HLOOKUP(L$65,defaults!$A$182:$C$194,MATCH('out-of-barn'!L72,defaults!$A$182:$A$194,0),FALSE))</f>
        <v>58</v>
      </c>
      <c r="M73" s="60"/>
      <c r="N73" s="10" t="s">
        <v>252</v>
      </c>
      <c r="O73" s="25">
        <f>IF(COUNT(P73)=1,P73,HLOOKUP(O$65,defaults!$A$182:$C$194,MATCH('out-of-barn'!O72,defaults!$A$182:$A$194,0),FALSE))</f>
        <v>58</v>
      </c>
      <c r="P73" s="60"/>
      <c r="Q73" s="10" t="s">
        <v>252</v>
      </c>
      <c r="R73" s="25">
        <f>IF(COUNT(S73)=1,S73,HLOOKUP(R$65,defaults!$A$182:$C$194,MATCH('out-of-barn'!R72,defaults!$A$182:$A$194,0),FALSE))</f>
        <v>58</v>
      </c>
      <c r="S73" s="60"/>
      <c r="T73" s="10" t="s">
        <v>252</v>
      </c>
      <c r="U73" s="25">
        <f>IF(COUNT(V73)=1,V73,HLOOKUP(U$65,defaults!$A$182:$C$194,MATCH('out-of-barn'!U72,defaults!$A$182:$A$194,0),FALSE))</f>
        <v>58</v>
      </c>
      <c r="V73" s="60"/>
      <c r="W73" s="10" t="s">
        <v>252</v>
      </c>
      <c r="X73" s="25">
        <f>IF(COUNT(Y73)=1,Y73,HLOOKUP(X$65,defaults!$A$182:$C$194,MATCH('out-of-barn'!X72,defaults!$A$182:$A$194,0),FALSE))</f>
        <v>58</v>
      </c>
      <c r="Y73" s="60"/>
      <c r="Z73" s="10" t="s">
        <v>252</v>
      </c>
      <c r="AA73" s="25">
        <f>IF(COUNT(AB73)=1,AB73,HLOOKUP(AA$65,defaults!$A$182:$C$194,MATCH('out-of-barn'!AA72,defaults!$A$182:$A$194,0),FALSE))</f>
        <v>58</v>
      </c>
      <c r="AB73" s="60"/>
      <c r="AC73" s="10" t="s">
        <v>252</v>
      </c>
      <c r="AD73" s="25">
        <f>IF(COUNT(AE73)=1,AE73,HLOOKUP(AD$65,defaults!$A$182:$C$194,MATCH('out-of-barn'!AD72,defaults!$A$182:$A$194,0),FALSE))</f>
        <v>58</v>
      </c>
      <c r="AE73" s="60"/>
    </row>
    <row r="74" spans="2:31" x14ac:dyDescent="0.25">
      <c r="B74" s="10" t="s">
        <v>253</v>
      </c>
      <c r="C74" s="36" t="s">
        <v>156</v>
      </c>
      <c r="D74" s="63"/>
      <c r="E74" s="10" t="s">
        <v>253</v>
      </c>
      <c r="F74" s="36" t="s">
        <v>156</v>
      </c>
      <c r="G74" s="63"/>
      <c r="H74" s="10" t="s">
        <v>253</v>
      </c>
      <c r="I74" s="36" t="s">
        <v>156</v>
      </c>
      <c r="J74" s="63"/>
      <c r="K74" s="10" t="s">
        <v>253</v>
      </c>
      <c r="L74" s="36" t="s">
        <v>156</v>
      </c>
      <c r="M74" s="63"/>
      <c r="N74" s="10" t="s">
        <v>253</v>
      </c>
      <c r="O74" s="36" t="s">
        <v>156</v>
      </c>
      <c r="P74" s="63"/>
      <c r="Q74" s="10" t="s">
        <v>253</v>
      </c>
      <c r="R74" s="36" t="s">
        <v>156</v>
      </c>
      <c r="S74" s="63"/>
      <c r="T74" s="10" t="s">
        <v>253</v>
      </c>
      <c r="U74" s="36" t="s">
        <v>156</v>
      </c>
      <c r="V74" s="63"/>
      <c r="W74" s="10" t="s">
        <v>253</v>
      </c>
      <c r="X74" s="36" t="s">
        <v>156</v>
      </c>
      <c r="Y74" s="63"/>
      <c r="Z74" s="10" t="s">
        <v>253</v>
      </c>
      <c r="AA74" s="36" t="s">
        <v>156</v>
      </c>
      <c r="AB74" s="63"/>
      <c r="AC74" s="10" t="s">
        <v>253</v>
      </c>
      <c r="AD74" s="36" t="s">
        <v>156</v>
      </c>
      <c r="AE74" s="63"/>
    </row>
    <row r="75" spans="2:31" x14ac:dyDescent="0.25">
      <c r="B75" s="10" t="s">
        <v>254</v>
      </c>
      <c r="C75" s="25">
        <f>IF(COUNT(D75)=1,D75,HLOOKUP(C$65,defaults!$A$182:$C$194,MATCH('out-of-barn'!C74,defaults!$A$182:$A$194,0),FALSE))</f>
        <v>10</v>
      </c>
      <c r="D75" s="60"/>
      <c r="E75" s="10" t="s">
        <v>254</v>
      </c>
      <c r="F75" s="25">
        <f>IF(COUNT(G75)=1,G75,HLOOKUP(F$65,defaults!$A$182:$C$194,MATCH('out-of-barn'!F74,defaults!$A$182:$A$194,0),FALSE))</f>
        <v>10</v>
      </c>
      <c r="G75" s="60"/>
      <c r="H75" s="10" t="s">
        <v>254</v>
      </c>
      <c r="I75" s="25">
        <f>IF(COUNT(J75)=1,J75,HLOOKUP(I$65,defaults!$A$182:$C$194,MATCH('out-of-barn'!I74,defaults!$A$182:$A$194,0),FALSE))</f>
        <v>10</v>
      </c>
      <c r="J75" s="60"/>
      <c r="K75" s="10" t="s">
        <v>254</v>
      </c>
      <c r="L75" s="25">
        <f>IF(COUNT(M75)=1,M75,HLOOKUP(L$65,defaults!$A$182:$C$194,MATCH('out-of-barn'!L74,defaults!$A$182:$A$194,0),FALSE))</f>
        <v>10</v>
      </c>
      <c r="M75" s="60"/>
      <c r="N75" s="10" t="s">
        <v>254</v>
      </c>
      <c r="O75" s="25">
        <f>IF(COUNT(P75)=1,P75,HLOOKUP(O$65,defaults!$A$182:$C$194,MATCH('out-of-barn'!O74,defaults!$A$182:$A$194,0),FALSE))</f>
        <v>10</v>
      </c>
      <c r="P75" s="60"/>
      <c r="Q75" s="10" t="s">
        <v>254</v>
      </c>
      <c r="R75" s="25">
        <f>IF(COUNT(S75)=1,S75,HLOOKUP(R$65,defaults!$A$182:$C$194,MATCH('out-of-barn'!R74,defaults!$A$182:$A$194,0),FALSE))</f>
        <v>10</v>
      </c>
      <c r="S75" s="60"/>
      <c r="T75" s="10" t="s">
        <v>254</v>
      </c>
      <c r="U75" s="25">
        <f>IF(COUNT(V75)=1,V75,HLOOKUP(U$65,defaults!$A$182:$C$194,MATCH('out-of-barn'!U74,defaults!$A$182:$A$194,0),FALSE))</f>
        <v>10</v>
      </c>
      <c r="V75" s="60"/>
      <c r="W75" s="10" t="s">
        <v>254</v>
      </c>
      <c r="X75" s="25">
        <f>IF(COUNT(Y75)=1,Y75,HLOOKUP(X$65,defaults!$A$182:$C$194,MATCH('out-of-barn'!X74,defaults!$A$182:$A$194,0),FALSE))</f>
        <v>10</v>
      </c>
      <c r="Y75" s="60"/>
      <c r="Z75" s="10" t="s">
        <v>254</v>
      </c>
      <c r="AA75" s="25">
        <f>IF(COUNT(AB75)=1,AB75,HLOOKUP(AA$65,defaults!$A$182:$C$194,MATCH('out-of-barn'!AA74,defaults!$A$182:$A$194,0),FALSE))</f>
        <v>10</v>
      </c>
      <c r="AB75" s="60"/>
      <c r="AC75" s="10" t="s">
        <v>254</v>
      </c>
      <c r="AD75" s="25">
        <f>IF(COUNT(AE75)=1,AE75,HLOOKUP(AD$65,defaults!$A$182:$C$194,MATCH('out-of-barn'!AD74,defaults!$A$182:$A$194,0),FALSE))</f>
        <v>10</v>
      </c>
      <c r="AE75" s="60"/>
    </row>
    <row r="76" spans="2:31" x14ac:dyDescent="0.25">
      <c r="B76" s="10" t="s">
        <v>255</v>
      </c>
      <c r="C76" s="36" t="s">
        <v>157</v>
      </c>
      <c r="D76" s="63"/>
      <c r="E76" s="10" t="s">
        <v>255</v>
      </c>
      <c r="F76" s="36" t="s">
        <v>157</v>
      </c>
      <c r="G76" s="63"/>
      <c r="H76" s="10" t="s">
        <v>255</v>
      </c>
      <c r="I76" s="36" t="s">
        <v>157</v>
      </c>
      <c r="J76" s="63"/>
      <c r="K76" s="10" t="s">
        <v>255</v>
      </c>
      <c r="L76" s="36" t="s">
        <v>157</v>
      </c>
      <c r="M76" s="63"/>
      <c r="N76" s="10" t="s">
        <v>255</v>
      </c>
      <c r="O76" s="36" t="s">
        <v>157</v>
      </c>
      <c r="P76" s="63"/>
      <c r="Q76" s="10" t="s">
        <v>255</v>
      </c>
      <c r="R76" s="36" t="s">
        <v>157</v>
      </c>
      <c r="S76" s="63"/>
      <c r="T76" s="10" t="s">
        <v>255</v>
      </c>
      <c r="U76" s="36" t="s">
        <v>157</v>
      </c>
      <c r="V76" s="63"/>
      <c r="W76" s="10" t="s">
        <v>255</v>
      </c>
      <c r="X76" s="36" t="s">
        <v>157</v>
      </c>
      <c r="Y76" s="63"/>
      <c r="Z76" s="10" t="s">
        <v>255</v>
      </c>
      <c r="AA76" s="36" t="s">
        <v>157</v>
      </c>
      <c r="AB76" s="63"/>
      <c r="AC76" s="10" t="s">
        <v>255</v>
      </c>
      <c r="AD76" s="36" t="s">
        <v>157</v>
      </c>
      <c r="AE76" s="63"/>
    </row>
    <row r="77" spans="2:31" x14ac:dyDescent="0.25">
      <c r="B77" s="10" t="s">
        <v>256</v>
      </c>
      <c r="C77" s="25">
        <f>IF(COUNT(D77)=1,D77,HLOOKUP(C$65,defaults!$A$182:$C$194,MATCH('out-of-barn'!C76,defaults!$A$182:$A$194,0),FALSE))</f>
        <v>1</v>
      </c>
      <c r="D77" s="60"/>
      <c r="E77" s="10" t="s">
        <v>256</v>
      </c>
      <c r="F77" s="25">
        <f>IF(COUNT(G77)=1,G77,HLOOKUP(F$65,defaults!$A$182:$C$194,MATCH('out-of-barn'!F76,defaults!$A$182:$A$194,0),FALSE))</f>
        <v>1</v>
      </c>
      <c r="G77" s="60"/>
      <c r="H77" s="10" t="s">
        <v>256</v>
      </c>
      <c r="I77" s="25">
        <f>IF(COUNT(J77)=1,J77,HLOOKUP(I$65,defaults!$A$182:$C$194,MATCH('out-of-barn'!I76,defaults!$A$182:$A$194,0),FALSE))</f>
        <v>1</v>
      </c>
      <c r="J77" s="60"/>
      <c r="K77" s="10" t="s">
        <v>256</v>
      </c>
      <c r="L77" s="25">
        <f>IF(COUNT(M77)=1,M77,HLOOKUP(L$65,defaults!$A$182:$C$194,MATCH('out-of-barn'!L76,defaults!$A$182:$A$194,0),FALSE))</f>
        <v>1</v>
      </c>
      <c r="M77" s="60"/>
      <c r="N77" s="10" t="s">
        <v>256</v>
      </c>
      <c r="O77" s="25">
        <f>IF(COUNT(P77)=1,P77,HLOOKUP(O$65,defaults!$A$182:$C$194,MATCH('out-of-barn'!O76,defaults!$A$182:$A$194,0),FALSE))</f>
        <v>1</v>
      </c>
      <c r="P77" s="60"/>
      <c r="Q77" s="10" t="s">
        <v>256</v>
      </c>
      <c r="R77" s="25">
        <f>IF(COUNT(S77)=1,S77,HLOOKUP(R$65,defaults!$A$182:$C$194,MATCH('out-of-barn'!R76,defaults!$A$182:$A$194,0),FALSE))</f>
        <v>1</v>
      </c>
      <c r="S77" s="60"/>
      <c r="T77" s="10" t="s">
        <v>256</v>
      </c>
      <c r="U77" s="25">
        <f>IF(COUNT(V77)=1,V77,HLOOKUP(U$65,defaults!$A$182:$C$194,MATCH('out-of-barn'!U76,defaults!$A$182:$A$194,0),FALSE))</f>
        <v>1</v>
      </c>
      <c r="V77" s="60"/>
      <c r="W77" s="10" t="s">
        <v>256</v>
      </c>
      <c r="X77" s="25">
        <f>IF(COUNT(Y77)=1,Y77,HLOOKUP(X$65,defaults!$A$182:$C$194,MATCH('out-of-barn'!X76,defaults!$A$182:$A$194,0),FALSE))</f>
        <v>1</v>
      </c>
      <c r="Y77" s="60"/>
      <c r="Z77" s="10" t="s">
        <v>256</v>
      </c>
      <c r="AA77" s="25">
        <f>IF(COUNT(AB77)=1,AB77,HLOOKUP(AA$65,defaults!$A$182:$C$194,MATCH('out-of-barn'!AA76,defaults!$A$182:$A$194,0),FALSE))</f>
        <v>1</v>
      </c>
      <c r="AB77" s="60"/>
      <c r="AC77" s="10" t="s">
        <v>256</v>
      </c>
      <c r="AD77" s="25">
        <f>IF(COUNT(AE77)=1,AE77,HLOOKUP(AD$65,defaults!$A$182:$C$194,MATCH('out-of-barn'!AD76,defaults!$A$182:$A$194,0),FALSE))</f>
        <v>1</v>
      </c>
      <c r="AE77" s="60"/>
    </row>
    <row r="78" spans="2:31" x14ac:dyDescent="0.25">
      <c r="B78" s="10" t="s">
        <v>257</v>
      </c>
      <c r="C78" s="36" t="s">
        <v>158</v>
      </c>
      <c r="D78" s="63"/>
      <c r="E78" s="10" t="s">
        <v>257</v>
      </c>
      <c r="F78" s="36" t="s">
        <v>158</v>
      </c>
      <c r="G78" s="63"/>
      <c r="H78" s="10" t="s">
        <v>257</v>
      </c>
      <c r="I78" s="36" t="s">
        <v>158</v>
      </c>
      <c r="J78" s="63"/>
      <c r="K78" s="10" t="s">
        <v>257</v>
      </c>
      <c r="L78" s="36" t="s">
        <v>158</v>
      </c>
      <c r="M78" s="63"/>
      <c r="N78" s="10" t="s">
        <v>257</v>
      </c>
      <c r="O78" s="36" t="s">
        <v>158</v>
      </c>
      <c r="P78" s="63"/>
      <c r="Q78" s="10" t="s">
        <v>257</v>
      </c>
      <c r="R78" s="36" t="s">
        <v>158</v>
      </c>
      <c r="S78" s="63"/>
      <c r="T78" s="10" t="s">
        <v>257</v>
      </c>
      <c r="U78" s="36" t="s">
        <v>158</v>
      </c>
      <c r="V78" s="63"/>
      <c r="W78" s="10" t="s">
        <v>257</v>
      </c>
      <c r="X78" s="36" t="s">
        <v>158</v>
      </c>
      <c r="Y78" s="63"/>
      <c r="Z78" s="10" t="s">
        <v>257</v>
      </c>
      <c r="AA78" s="36" t="s">
        <v>158</v>
      </c>
      <c r="AB78" s="63"/>
      <c r="AC78" s="10" t="s">
        <v>257</v>
      </c>
      <c r="AD78" s="36" t="s">
        <v>158</v>
      </c>
      <c r="AE78" s="63"/>
    </row>
    <row r="79" spans="2:31" x14ac:dyDescent="0.25">
      <c r="B79" s="10" t="s">
        <v>258</v>
      </c>
      <c r="C79" s="25">
        <f>IF(COUNT(D79)=1,D79,HLOOKUP(C$65,defaults!$A$182:$C$194,MATCH('out-of-barn'!C78,defaults!$A$182:$A$194,0),FALSE))</f>
        <v>1</v>
      </c>
      <c r="D79" s="60"/>
      <c r="E79" s="10" t="s">
        <v>258</v>
      </c>
      <c r="F79" s="25">
        <f>IF(COUNT(G79)=1,G79,HLOOKUP(F$65,defaults!$A$182:$C$194,MATCH('out-of-barn'!F78,defaults!$A$182:$A$194,0),FALSE))</f>
        <v>1</v>
      </c>
      <c r="G79" s="60"/>
      <c r="H79" s="10" t="s">
        <v>258</v>
      </c>
      <c r="I79" s="25">
        <f>IF(COUNT(J79)=1,J79,HLOOKUP(I$65,defaults!$A$182:$C$194,MATCH('out-of-barn'!I78,defaults!$A$182:$A$194,0),FALSE))</f>
        <v>1</v>
      </c>
      <c r="J79" s="60"/>
      <c r="K79" s="10" t="s">
        <v>258</v>
      </c>
      <c r="L79" s="25">
        <f>IF(COUNT(M79)=1,M79,HLOOKUP(L$65,defaults!$A$182:$C$194,MATCH('out-of-barn'!L78,defaults!$A$182:$A$194,0),FALSE))</f>
        <v>1</v>
      </c>
      <c r="M79" s="60"/>
      <c r="N79" s="10" t="s">
        <v>258</v>
      </c>
      <c r="O79" s="25">
        <f>IF(COUNT(P79)=1,P79,HLOOKUP(O$65,defaults!$A$182:$C$194,MATCH('out-of-barn'!O78,defaults!$A$182:$A$194,0),FALSE))</f>
        <v>1</v>
      </c>
      <c r="P79" s="60"/>
      <c r="Q79" s="10" t="s">
        <v>258</v>
      </c>
      <c r="R79" s="25">
        <f>IF(COUNT(S79)=1,S79,HLOOKUP(R$65,defaults!$A$182:$C$194,MATCH('out-of-barn'!R78,defaults!$A$182:$A$194,0),FALSE))</f>
        <v>1</v>
      </c>
      <c r="S79" s="60"/>
      <c r="T79" s="10" t="s">
        <v>258</v>
      </c>
      <c r="U79" s="25">
        <f>IF(COUNT(V79)=1,V79,HLOOKUP(U$65,defaults!$A$182:$C$194,MATCH('out-of-barn'!U78,defaults!$A$182:$A$194,0),FALSE))</f>
        <v>1</v>
      </c>
      <c r="V79" s="60"/>
      <c r="W79" s="10" t="s">
        <v>258</v>
      </c>
      <c r="X79" s="25">
        <f>IF(COUNT(Y79)=1,Y79,HLOOKUP(X$65,defaults!$A$182:$C$194,MATCH('out-of-barn'!X78,defaults!$A$182:$A$194,0),FALSE))</f>
        <v>1</v>
      </c>
      <c r="Y79" s="60"/>
      <c r="Z79" s="10" t="s">
        <v>258</v>
      </c>
      <c r="AA79" s="25">
        <f>IF(COUNT(AB79)=1,AB79,HLOOKUP(AA$65,defaults!$A$182:$C$194,MATCH('out-of-barn'!AA78,defaults!$A$182:$A$194,0),FALSE))</f>
        <v>1</v>
      </c>
      <c r="AB79" s="60"/>
      <c r="AC79" s="10" t="s">
        <v>258</v>
      </c>
      <c r="AD79" s="25">
        <f>IF(COUNT(AE79)=1,AE79,HLOOKUP(AD$65,defaults!$A$182:$C$194,MATCH('out-of-barn'!AD78,defaults!$A$182:$A$194,0),FALSE))</f>
        <v>1</v>
      </c>
      <c r="AE79" s="60"/>
    </row>
    <row r="80" spans="2:31" x14ac:dyDescent="0.25">
      <c r="B80" s="10" t="s">
        <v>259</v>
      </c>
      <c r="C80" s="36" t="s">
        <v>159</v>
      </c>
      <c r="D80" s="63"/>
      <c r="E80" s="10" t="s">
        <v>259</v>
      </c>
      <c r="F80" s="36" t="s">
        <v>159</v>
      </c>
      <c r="G80" s="63"/>
      <c r="H80" s="10" t="s">
        <v>259</v>
      </c>
      <c r="I80" s="36" t="s">
        <v>159</v>
      </c>
      <c r="J80" s="63"/>
      <c r="K80" s="10" t="s">
        <v>259</v>
      </c>
      <c r="L80" s="36" t="s">
        <v>159</v>
      </c>
      <c r="M80" s="63"/>
      <c r="N80" s="10" t="s">
        <v>259</v>
      </c>
      <c r="O80" s="36" t="s">
        <v>159</v>
      </c>
      <c r="P80" s="63"/>
      <c r="Q80" s="10" t="s">
        <v>259</v>
      </c>
      <c r="R80" s="36" t="s">
        <v>159</v>
      </c>
      <c r="S80" s="63"/>
      <c r="T80" s="10" t="s">
        <v>259</v>
      </c>
      <c r="U80" s="36" t="s">
        <v>159</v>
      </c>
      <c r="V80" s="63"/>
      <c r="W80" s="10" t="s">
        <v>259</v>
      </c>
      <c r="X80" s="36" t="s">
        <v>159</v>
      </c>
      <c r="Y80" s="63"/>
      <c r="Z80" s="10" t="s">
        <v>259</v>
      </c>
      <c r="AA80" s="36" t="s">
        <v>159</v>
      </c>
      <c r="AB80" s="63"/>
      <c r="AC80" s="10" t="s">
        <v>259</v>
      </c>
      <c r="AD80" s="36" t="s">
        <v>159</v>
      </c>
      <c r="AE80" s="63"/>
    </row>
    <row r="81" spans="2:31" x14ac:dyDescent="0.25">
      <c r="B81" s="10" t="s">
        <v>260</v>
      </c>
      <c r="C81" s="25">
        <f>IF(COUNT(D81)=1,D81,HLOOKUP(C$65,defaults!$A$182:$C$194,MATCH('out-of-barn'!C80,defaults!$A$182:$A$194,0),FALSE))</f>
        <v>3</v>
      </c>
      <c r="D81" s="60"/>
      <c r="E81" s="10" t="s">
        <v>260</v>
      </c>
      <c r="F81" s="25">
        <f>IF(COUNT(G81)=1,G81,HLOOKUP(F$65,defaults!$A$182:$C$194,MATCH('out-of-barn'!F80,defaults!$A$182:$A$194,0),FALSE))</f>
        <v>3</v>
      </c>
      <c r="G81" s="60"/>
      <c r="H81" s="10" t="s">
        <v>260</v>
      </c>
      <c r="I81" s="25">
        <f>IF(COUNT(J81)=1,J81,HLOOKUP(I$65,defaults!$A$182:$C$194,MATCH('out-of-barn'!I80,defaults!$A$182:$A$194,0),FALSE))</f>
        <v>3</v>
      </c>
      <c r="J81" s="60"/>
      <c r="K81" s="10" t="s">
        <v>260</v>
      </c>
      <c r="L81" s="25">
        <f>IF(COUNT(M81)=1,M81,HLOOKUP(L$65,defaults!$A$182:$C$194,MATCH('out-of-barn'!L80,defaults!$A$182:$A$194,0),FALSE))</f>
        <v>3</v>
      </c>
      <c r="M81" s="60"/>
      <c r="N81" s="10" t="s">
        <v>260</v>
      </c>
      <c r="O81" s="25">
        <f>IF(COUNT(P81)=1,P81,HLOOKUP(O$65,defaults!$A$182:$C$194,MATCH('out-of-barn'!O80,defaults!$A$182:$A$194,0),FALSE))</f>
        <v>3</v>
      </c>
      <c r="P81" s="60"/>
      <c r="Q81" s="10" t="s">
        <v>260</v>
      </c>
      <c r="R81" s="25">
        <f>IF(COUNT(S81)=1,S81,HLOOKUP(R$65,defaults!$A$182:$C$194,MATCH('out-of-barn'!R80,defaults!$A$182:$A$194,0),FALSE))</f>
        <v>3</v>
      </c>
      <c r="S81" s="60"/>
      <c r="T81" s="10" t="s">
        <v>260</v>
      </c>
      <c r="U81" s="25">
        <f>IF(COUNT(V81)=1,V81,HLOOKUP(U$65,defaults!$A$182:$C$194,MATCH('out-of-barn'!U80,defaults!$A$182:$A$194,0),FALSE))</f>
        <v>3</v>
      </c>
      <c r="V81" s="60"/>
      <c r="W81" s="10" t="s">
        <v>260</v>
      </c>
      <c r="X81" s="25">
        <f>IF(COUNT(Y81)=1,Y81,HLOOKUP(X$65,defaults!$A$182:$C$194,MATCH('out-of-barn'!X80,defaults!$A$182:$A$194,0),FALSE))</f>
        <v>3</v>
      </c>
      <c r="Y81" s="60"/>
      <c r="Z81" s="10" t="s">
        <v>260</v>
      </c>
      <c r="AA81" s="25">
        <f>IF(COUNT(AB81)=1,AB81,HLOOKUP(AA$65,defaults!$A$182:$C$194,MATCH('out-of-barn'!AA80,defaults!$A$182:$A$194,0),FALSE))</f>
        <v>3</v>
      </c>
      <c r="AB81" s="60"/>
      <c r="AC81" s="10" t="s">
        <v>260</v>
      </c>
      <c r="AD81" s="25">
        <f>IF(COUNT(AE81)=1,AE81,HLOOKUP(AD$65,defaults!$A$182:$C$194,MATCH('out-of-barn'!AD80,defaults!$A$182:$A$194,0),FALSE))</f>
        <v>3</v>
      </c>
      <c r="AE81" s="60"/>
    </row>
    <row r="82" spans="2:31" x14ac:dyDescent="0.25">
      <c r="B82" s="10" t="s">
        <v>261</v>
      </c>
      <c r="C82" s="36" t="s">
        <v>160</v>
      </c>
      <c r="D82" s="63"/>
      <c r="E82" s="10" t="s">
        <v>261</v>
      </c>
      <c r="F82" s="36" t="s">
        <v>160</v>
      </c>
      <c r="G82" s="63"/>
      <c r="H82" s="10" t="s">
        <v>261</v>
      </c>
      <c r="I82" s="36" t="s">
        <v>160</v>
      </c>
      <c r="J82" s="63"/>
      <c r="K82" s="10" t="s">
        <v>261</v>
      </c>
      <c r="L82" s="36" t="s">
        <v>160</v>
      </c>
      <c r="M82" s="63"/>
      <c r="N82" s="10" t="s">
        <v>261</v>
      </c>
      <c r="O82" s="36" t="s">
        <v>160</v>
      </c>
      <c r="P82" s="63"/>
      <c r="Q82" s="10" t="s">
        <v>261</v>
      </c>
      <c r="R82" s="36" t="s">
        <v>160</v>
      </c>
      <c r="S82" s="63"/>
      <c r="T82" s="10" t="s">
        <v>261</v>
      </c>
      <c r="U82" s="36" t="s">
        <v>160</v>
      </c>
      <c r="V82" s="63"/>
      <c r="W82" s="10" t="s">
        <v>261</v>
      </c>
      <c r="X82" s="36" t="s">
        <v>160</v>
      </c>
      <c r="Y82" s="63"/>
      <c r="Z82" s="10" t="s">
        <v>261</v>
      </c>
      <c r="AA82" s="36" t="s">
        <v>160</v>
      </c>
      <c r="AB82" s="63"/>
      <c r="AC82" s="10" t="s">
        <v>261</v>
      </c>
      <c r="AD82" s="36" t="s">
        <v>160</v>
      </c>
      <c r="AE82" s="63"/>
    </row>
    <row r="83" spans="2:31" x14ac:dyDescent="0.25">
      <c r="B83" s="10" t="s">
        <v>262</v>
      </c>
      <c r="C83" s="25">
        <f>IF(COUNT(D83)=1,D83,HLOOKUP(C$65,defaults!$A$182:$C$194,MATCH('out-of-barn'!C82,defaults!$A$182:$A$194,0),FALSE))</f>
        <v>3</v>
      </c>
      <c r="D83" s="60"/>
      <c r="E83" s="10" t="s">
        <v>262</v>
      </c>
      <c r="F83" s="25">
        <f>IF(COUNT(G83)=1,G83,HLOOKUP(F$65,defaults!$A$182:$C$194,MATCH('out-of-barn'!F82,defaults!$A$182:$A$194,0),FALSE))</f>
        <v>3</v>
      </c>
      <c r="G83" s="60"/>
      <c r="H83" s="10" t="s">
        <v>262</v>
      </c>
      <c r="I83" s="25">
        <f>IF(COUNT(J83)=1,J83,HLOOKUP(I$65,defaults!$A$182:$C$194,MATCH('out-of-barn'!I82,defaults!$A$182:$A$194,0),FALSE))</f>
        <v>3</v>
      </c>
      <c r="J83" s="60"/>
      <c r="K83" s="10" t="s">
        <v>262</v>
      </c>
      <c r="L83" s="25">
        <f>IF(COUNT(M83)=1,M83,HLOOKUP(L$65,defaults!$A$182:$C$194,MATCH('out-of-barn'!L82,defaults!$A$182:$A$194,0),FALSE))</f>
        <v>3</v>
      </c>
      <c r="M83" s="60"/>
      <c r="N83" s="10" t="s">
        <v>262</v>
      </c>
      <c r="O83" s="25">
        <f>IF(COUNT(P83)=1,P83,HLOOKUP(O$65,defaults!$A$182:$C$194,MATCH('out-of-barn'!O82,defaults!$A$182:$A$194,0),FALSE))</f>
        <v>3</v>
      </c>
      <c r="P83" s="60"/>
      <c r="Q83" s="10" t="s">
        <v>262</v>
      </c>
      <c r="R83" s="25">
        <f>IF(COUNT(S83)=1,S83,HLOOKUP(R$65,defaults!$A$182:$C$194,MATCH('out-of-barn'!R82,defaults!$A$182:$A$194,0),FALSE))</f>
        <v>3</v>
      </c>
      <c r="S83" s="60"/>
      <c r="T83" s="10" t="s">
        <v>262</v>
      </c>
      <c r="U83" s="25">
        <f>IF(COUNT(V83)=1,V83,HLOOKUP(U$65,defaults!$A$182:$C$194,MATCH('out-of-barn'!U82,defaults!$A$182:$A$194,0),FALSE))</f>
        <v>3</v>
      </c>
      <c r="V83" s="60"/>
      <c r="W83" s="10" t="s">
        <v>262</v>
      </c>
      <c r="X83" s="25">
        <f>IF(COUNT(Y83)=1,Y83,HLOOKUP(X$65,defaults!$A$182:$C$194,MATCH('out-of-barn'!X82,defaults!$A$182:$A$194,0),FALSE))</f>
        <v>3</v>
      </c>
      <c r="Y83" s="60"/>
      <c r="Z83" s="10" t="s">
        <v>262</v>
      </c>
      <c r="AA83" s="25">
        <f>IF(COUNT(AB83)=1,AB83,HLOOKUP(AA$65,defaults!$A$182:$C$194,MATCH('out-of-barn'!AA82,defaults!$A$182:$A$194,0),FALSE))</f>
        <v>3</v>
      </c>
      <c r="AB83" s="60"/>
      <c r="AC83" s="10" t="s">
        <v>262</v>
      </c>
      <c r="AD83" s="25">
        <f>IF(COUNT(AE83)=1,AE83,HLOOKUP(AD$65,defaults!$A$182:$C$194,MATCH('out-of-barn'!AD82,defaults!$A$182:$A$194,0),FALSE))</f>
        <v>3</v>
      </c>
      <c r="AE83" s="60"/>
    </row>
    <row r="84" spans="2:31" x14ac:dyDescent="0.25">
      <c r="B84" s="10" t="s">
        <v>263</v>
      </c>
      <c r="C84" s="36" t="s">
        <v>161</v>
      </c>
      <c r="D84" s="63"/>
      <c r="E84" s="10" t="s">
        <v>263</v>
      </c>
      <c r="F84" s="36" t="s">
        <v>161</v>
      </c>
      <c r="G84" s="63"/>
      <c r="H84" s="10" t="s">
        <v>263</v>
      </c>
      <c r="I84" s="36" t="s">
        <v>161</v>
      </c>
      <c r="J84" s="63"/>
      <c r="K84" s="10" t="s">
        <v>263</v>
      </c>
      <c r="L84" s="36" t="s">
        <v>161</v>
      </c>
      <c r="M84" s="63"/>
      <c r="N84" s="10" t="s">
        <v>263</v>
      </c>
      <c r="O84" s="36" t="s">
        <v>161</v>
      </c>
      <c r="P84" s="63"/>
      <c r="Q84" s="10" t="s">
        <v>263</v>
      </c>
      <c r="R84" s="36" t="s">
        <v>161</v>
      </c>
      <c r="S84" s="63"/>
      <c r="T84" s="10" t="s">
        <v>263</v>
      </c>
      <c r="U84" s="36" t="s">
        <v>161</v>
      </c>
      <c r="V84" s="63"/>
      <c r="W84" s="10" t="s">
        <v>263</v>
      </c>
      <c r="X84" s="36" t="s">
        <v>161</v>
      </c>
      <c r="Y84" s="63"/>
      <c r="Z84" s="10" t="s">
        <v>263</v>
      </c>
      <c r="AA84" s="36" t="s">
        <v>161</v>
      </c>
      <c r="AB84" s="63"/>
      <c r="AC84" s="10" t="s">
        <v>263</v>
      </c>
      <c r="AD84" s="36" t="s">
        <v>161</v>
      </c>
      <c r="AE84" s="63"/>
    </row>
    <row r="85" spans="2:31" x14ac:dyDescent="0.25">
      <c r="B85" s="10" t="s">
        <v>264</v>
      </c>
      <c r="C85" s="25">
        <f>IF(COUNT(D85)=1,D85,HLOOKUP(C$65,defaults!$A$182:$C$194,MATCH('out-of-barn'!C84,defaults!$A$182:$A$194,0),FALSE))</f>
        <v>1</v>
      </c>
      <c r="D85" s="60"/>
      <c r="E85" s="10" t="s">
        <v>264</v>
      </c>
      <c r="F85" s="25">
        <f>IF(COUNT(G85)=1,G85,HLOOKUP(F$65,defaults!$A$182:$C$194,MATCH('out-of-barn'!F84,defaults!$A$182:$A$194,0),FALSE))</f>
        <v>1</v>
      </c>
      <c r="G85" s="60"/>
      <c r="H85" s="10" t="s">
        <v>264</v>
      </c>
      <c r="I85" s="25">
        <f>IF(COUNT(J85)=1,J85,HLOOKUP(I$65,defaults!$A$182:$C$194,MATCH('out-of-barn'!I84,defaults!$A$182:$A$194,0),FALSE))</f>
        <v>1</v>
      </c>
      <c r="J85" s="60"/>
      <c r="K85" s="10" t="s">
        <v>264</v>
      </c>
      <c r="L85" s="25">
        <f>IF(COUNT(M85)=1,M85,HLOOKUP(L$65,defaults!$A$182:$C$194,MATCH('out-of-barn'!L84,defaults!$A$182:$A$194,0),FALSE))</f>
        <v>1</v>
      </c>
      <c r="M85" s="60"/>
      <c r="N85" s="10" t="s">
        <v>264</v>
      </c>
      <c r="O85" s="25">
        <f>IF(COUNT(P85)=1,P85,HLOOKUP(O$65,defaults!$A$182:$C$194,MATCH('out-of-barn'!O84,defaults!$A$182:$A$194,0),FALSE))</f>
        <v>1</v>
      </c>
      <c r="P85" s="60"/>
      <c r="Q85" s="10" t="s">
        <v>264</v>
      </c>
      <c r="R85" s="25">
        <f>IF(COUNT(S85)=1,S85,HLOOKUP(R$65,defaults!$A$182:$C$194,MATCH('out-of-barn'!R84,defaults!$A$182:$A$194,0),FALSE))</f>
        <v>1</v>
      </c>
      <c r="S85" s="60"/>
      <c r="T85" s="10" t="s">
        <v>264</v>
      </c>
      <c r="U85" s="25">
        <f>IF(COUNT(V85)=1,V85,HLOOKUP(U$65,defaults!$A$182:$C$194,MATCH('out-of-barn'!U84,defaults!$A$182:$A$194,0),FALSE))</f>
        <v>1</v>
      </c>
      <c r="V85" s="60"/>
      <c r="W85" s="10" t="s">
        <v>264</v>
      </c>
      <c r="X85" s="25">
        <f>IF(COUNT(Y85)=1,Y85,HLOOKUP(X$65,defaults!$A$182:$C$194,MATCH('out-of-barn'!X84,defaults!$A$182:$A$194,0),FALSE))</f>
        <v>1</v>
      </c>
      <c r="Y85" s="60"/>
      <c r="Z85" s="10" t="s">
        <v>264</v>
      </c>
      <c r="AA85" s="25">
        <f>IF(COUNT(AB85)=1,AB85,HLOOKUP(AA$65,defaults!$A$182:$C$194,MATCH('out-of-barn'!AA84,defaults!$A$182:$A$194,0),FALSE))</f>
        <v>1</v>
      </c>
      <c r="AB85" s="60"/>
      <c r="AC85" s="10" t="s">
        <v>264</v>
      </c>
      <c r="AD85" s="25">
        <f>IF(COUNT(AE85)=1,AE85,HLOOKUP(AD$65,defaults!$A$182:$C$194,MATCH('out-of-barn'!AD84,defaults!$A$182:$A$194,0),FALSE))</f>
        <v>1</v>
      </c>
      <c r="AE85" s="60"/>
    </row>
    <row r="86" spans="2:31" x14ac:dyDescent="0.25">
      <c r="B86" s="10" t="s">
        <v>265</v>
      </c>
      <c r="C86" s="36" t="s">
        <v>162</v>
      </c>
      <c r="D86" s="63"/>
      <c r="E86" s="10" t="s">
        <v>265</v>
      </c>
      <c r="F86" s="36" t="s">
        <v>162</v>
      </c>
      <c r="G86" s="63"/>
      <c r="H86" s="10" t="s">
        <v>265</v>
      </c>
      <c r="I86" s="36" t="s">
        <v>162</v>
      </c>
      <c r="J86" s="63"/>
      <c r="K86" s="10" t="s">
        <v>265</v>
      </c>
      <c r="L86" s="36" t="s">
        <v>162</v>
      </c>
      <c r="M86" s="63"/>
      <c r="N86" s="10" t="s">
        <v>265</v>
      </c>
      <c r="O86" s="36" t="s">
        <v>162</v>
      </c>
      <c r="P86" s="63"/>
      <c r="Q86" s="10" t="s">
        <v>265</v>
      </c>
      <c r="R86" s="36" t="s">
        <v>162</v>
      </c>
      <c r="S86" s="63"/>
      <c r="T86" s="10" t="s">
        <v>265</v>
      </c>
      <c r="U86" s="36" t="s">
        <v>162</v>
      </c>
      <c r="V86" s="63"/>
      <c r="W86" s="10" t="s">
        <v>265</v>
      </c>
      <c r="X86" s="36" t="s">
        <v>162</v>
      </c>
      <c r="Y86" s="63"/>
      <c r="Z86" s="10" t="s">
        <v>265</v>
      </c>
      <c r="AA86" s="36" t="s">
        <v>162</v>
      </c>
      <c r="AB86" s="63"/>
      <c r="AC86" s="10" t="s">
        <v>265</v>
      </c>
      <c r="AD86" s="36" t="s">
        <v>162</v>
      </c>
      <c r="AE86" s="63"/>
    </row>
    <row r="87" spans="2:31" x14ac:dyDescent="0.25">
      <c r="B87" s="10" t="s">
        <v>266</v>
      </c>
      <c r="C87" s="25">
        <f>IF(COUNT(D87)=1,D87,HLOOKUP(C$65,defaults!$A$182:$C$194,MATCH('out-of-barn'!C86,defaults!$A$182:$A$194,0),FALSE))</f>
        <v>0</v>
      </c>
      <c r="D87" s="60"/>
      <c r="E87" s="10" t="s">
        <v>266</v>
      </c>
      <c r="F87" s="25">
        <f>IF(COUNT(G87)=1,G87,HLOOKUP(F$65,defaults!$A$182:$C$194,MATCH('out-of-barn'!F86,defaults!$A$182:$A$194,0),FALSE))</f>
        <v>0</v>
      </c>
      <c r="G87" s="60"/>
      <c r="H87" s="10" t="s">
        <v>266</v>
      </c>
      <c r="I87" s="25">
        <f>IF(COUNT(J87)=1,J87,HLOOKUP(I$65,defaults!$A$182:$C$194,MATCH('out-of-barn'!I86,defaults!$A$182:$A$194,0),FALSE))</f>
        <v>0</v>
      </c>
      <c r="J87" s="60"/>
      <c r="K87" s="10" t="s">
        <v>266</v>
      </c>
      <c r="L87" s="25">
        <f>IF(COUNT(M87)=1,M87,HLOOKUP(L$65,defaults!$A$182:$C$194,MATCH('out-of-barn'!L86,defaults!$A$182:$A$194,0),FALSE))</f>
        <v>0</v>
      </c>
      <c r="M87" s="60"/>
      <c r="N87" s="10" t="s">
        <v>266</v>
      </c>
      <c r="O87" s="25">
        <f>IF(COUNT(P87)=1,P87,HLOOKUP(O$65,defaults!$A$182:$C$194,MATCH('out-of-barn'!O86,defaults!$A$182:$A$194,0),FALSE))</f>
        <v>0</v>
      </c>
      <c r="P87" s="60"/>
      <c r="Q87" s="10" t="s">
        <v>266</v>
      </c>
      <c r="R87" s="25">
        <f>IF(COUNT(S87)=1,S87,HLOOKUP(R$65,defaults!$A$182:$C$194,MATCH('out-of-barn'!R86,defaults!$A$182:$A$194,0),FALSE))</f>
        <v>0</v>
      </c>
      <c r="S87" s="60"/>
      <c r="T87" s="10" t="s">
        <v>266</v>
      </c>
      <c r="U87" s="25">
        <f>IF(COUNT(V87)=1,V87,HLOOKUP(U$65,defaults!$A$182:$C$194,MATCH('out-of-barn'!U86,defaults!$A$182:$A$194,0),FALSE))</f>
        <v>0</v>
      </c>
      <c r="V87" s="60"/>
      <c r="W87" s="10" t="s">
        <v>266</v>
      </c>
      <c r="X87" s="25">
        <f>IF(COUNT(Y87)=1,Y87,HLOOKUP(X$65,defaults!$A$182:$C$194,MATCH('out-of-barn'!X86,defaults!$A$182:$A$194,0),FALSE))</f>
        <v>0</v>
      </c>
      <c r="Y87" s="60"/>
      <c r="Z87" s="10" t="s">
        <v>266</v>
      </c>
      <c r="AA87" s="25">
        <f>IF(COUNT(AB87)=1,AB87,HLOOKUP(AA$65,defaults!$A$182:$C$194,MATCH('out-of-barn'!AA86,defaults!$A$182:$A$194,0),FALSE))</f>
        <v>0</v>
      </c>
      <c r="AB87" s="60"/>
      <c r="AC87" s="10" t="s">
        <v>266</v>
      </c>
      <c r="AD87" s="25">
        <f>IF(COUNT(AE87)=1,AE87,HLOOKUP(AD$65,defaults!$A$182:$C$194,MATCH('out-of-barn'!AD86,defaults!$A$182:$A$194,0),FALSE))</f>
        <v>0</v>
      </c>
      <c r="AE87" s="60"/>
    </row>
    <row r="88" spans="2:31" x14ac:dyDescent="0.25">
      <c r="B88" s="10" t="s">
        <v>267</v>
      </c>
      <c r="C88" s="36" t="s">
        <v>163</v>
      </c>
      <c r="D88" s="63"/>
      <c r="E88" s="10" t="s">
        <v>267</v>
      </c>
      <c r="F88" s="36" t="s">
        <v>163</v>
      </c>
      <c r="G88" s="63"/>
      <c r="H88" s="10" t="s">
        <v>267</v>
      </c>
      <c r="I88" s="36" t="s">
        <v>163</v>
      </c>
      <c r="J88" s="63"/>
      <c r="K88" s="10" t="s">
        <v>267</v>
      </c>
      <c r="L88" s="36" t="s">
        <v>163</v>
      </c>
      <c r="M88" s="63"/>
      <c r="N88" s="10" t="s">
        <v>267</v>
      </c>
      <c r="O88" s="36" t="s">
        <v>163</v>
      </c>
      <c r="P88" s="63"/>
      <c r="Q88" s="10" t="s">
        <v>267</v>
      </c>
      <c r="R88" s="36" t="s">
        <v>163</v>
      </c>
      <c r="S88" s="63"/>
      <c r="T88" s="10" t="s">
        <v>267</v>
      </c>
      <c r="U88" s="36" t="s">
        <v>163</v>
      </c>
      <c r="V88" s="63"/>
      <c r="W88" s="10" t="s">
        <v>267</v>
      </c>
      <c r="X88" s="36" t="s">
        <v>163</v>
      </c>
      <c r="Y88" s="63"/>
      <c r="Z88" s="10" t="s">
        <v>267</v>
      </c>
      <c r="AA88" s="36" t="s">
        <v>163</v>
      </c>
      <c r="AB88" s="63"/>
      <c r="AC88" s="10" t="s">
        <v>267</v>
      </c>
      <c r="AD88" s="36" t="s">
        <v>163</v>
      </c>
      <c r="AE88" s="63"/>
    </row>
    <row r="89" spans="2:31" x14ac:dyDescent="0.25">
      <c r="B89" s="10" t="s">
        <v>268</v>
      </c>
      <c r="C89" s="25">
        <f>IF(COUNT(D89)=1,D89,HLOOKUP(C$65,defaults!$A$182:$C$194,MATCH('out-of-barn'!C88,defaults!$A$182:$A$194,0),FALSE))</f>
        <v>0</v>
      </c>
      <c r="D89" s="60"/>
      <c r="E89" s="10" t="s">
        <v>268</v>
      </c>
      <c r="F89" s="25">
        <f>IF(COUNT(G89)=1,G89,HLOOKUP(F$65,defaults!$A$182:$C$194,MATCH('out-of-barn'!F88,defaults!$A$182:$A$194,0),FALSE))</f>
        <v>0</v>
      </c>
      <c r="G89" s="60"/>
      <c r="H89" s="10" t="s">
        <v>268</v>
      </c>
      <c r="I89" s="25">
        <f>IF(COUNT(J89)=1,J89,HLOOKUP(I$65,defaults!$A$182:$C$194,MATCH('out-of-barn'!I88,defaults!$A$182:$A$194,0),FALSE))</f>
        <v>0</v>
      </c>
      <c r="J89" s="60"/>
      <c r="K89" s="10" t="s">
        <v>268</v>
      </c>
      <c r="L89" s="25">
        <f>IF(COUNT(M89)=1,M89,HLOOKUP(L$65,defaults!$A$182:$C$194,MATCH('out-of-barn'!L88,defaults!$A$182:$A$194,0),FALSE))</f>
        <v>0</v>
      </c>
      <c r="M89" s="60"/>
      <c r="N89" s="10" t="s">
        <v>268</v>
      </c>
      <c r="O89" s="25">
        <f>IF(COUNT(P89)=1,P89,HLOOKUP(O$65,defaults!$A$182:$C$194,MATCH('out-of-barn'!O88,defaults!$A$182:$A$194,0),FALSE))</f>
        <v>0</v>
      </c>
      <c r="P89" s="60"/>
      <c r="Q89" s="10" t="s">
        <v>268</v>
      </c>
      <c r="R89" s="25">
        <f>IF(COUNT(S89)=1,S89,HLOOKUP(R$65,defaults!$A$182:$C$194,MATCH('out-of-barn'!R88,defaults!$A$182:$A$194,0),FALSE))</f>
        <v>0</v>
      </c>
      <c r="S89" s="60"/>
      <c r="T89" s="10" t="s">
        <v>268</v>
      </c>
      <c r="U89" s="25">
        <f>IF(COUNT(V89)=1,V89,HLOOKUP(U$65,defaults!$A$182:$C$194,MATCH('out-of-barn'!U88,defaults!$A$182:$A$194,0),FALSE))</f>
        <v>0</v>
      </c>
      <c r="V89" s="60"/>
      <c r="W89" s="10" t="s">
        <v>268</v>
      </c>
      <c r="X89" s="25">
        <f>IF(COUNT(Y89)=1,Y89,HLOOKUP(X$65,defaults!$A$182:$C$194,MATCH('out-of-barn'!X88,defaults!$A$182:$A$194,0),FALSE))</f>
        <v>0</v>
      </c>
      <c r="Y89" s="60"/>
      <c r="Z89" s="10" t="s">
        <v>268</v>
      </c>
      <c r="AA89" s="25">
        <f>IF(COUNT(AB89)=1,AB89,HLOOKUP(AA$65,defaults!$A$182:$C$194,MATCH('out-of-barn'!AA88,defaults!$A$182:$A$194,0),FALSE))</f>
        <v>0</v>
      </c>
      <c r="AB89" s="60"/>
      <c r="AC89" s="10" t="s">
        <v>268</v>
      </c>
      <c r="AD89" s="25">
        <f>IF(COUNT(AE89)=1,AE89,HLOOKUP(AD$65,defaults!$A$182:$C$194,MATCH('out-of-barn'!AD88,defaults!$A$182:$A$194,0),FALSE))</f>
        <v>0</v>
      </c>
      <c r="AE89" s="60"/>
    </row>
    <row r="90" spans="2:31" x14ac:dyDescent="0.25">
      <c r="B90" s="10" t="s">
        <v>242</v>
      </c>
      <c r="C90" s="25">
        <f>SUM(C67,C69,C71,C73,C75,C77,C79,C81,C83,C85,C87,C89)</f>
        <v>100</v>
      </c>
      <c r="D90" s="68" t="str">
        <f>IF(C90 = 100,"","warning")</f>
        <v/>
      </c>
      <c r="E90" s="10" t="s">
        <v>242</v>
      </c>
      <c r="F90" s="25">
        <f>SUM(F67,F69,F71,F73,F75,F77,F79,F81,F83,F85,F87,F89)</f>
        <v>100</v>
      </c>
      <c r="G90" s="68" t="str">
        <f>IF(F90 = 100,"","warning")</f>
        <v/>
      </c>
      <c r="H90" s="10" t="s">
        <v>242</v>
      </c>
      <c r="I90" s="25">
        <f>SUM(I67,I69,I71,I73,I75,I77,I79,I81,I83,I85,I87,I89)</f>
        <v>100</v>
      </c>
      <c r="J90" s="68" t="str">
        <f>IF(I90 = 100,"","warning")</f>
        <v/>
      </c>
      <c r="K90" s="10" t="s">
        <v>242</v>
      </c>
      <c r="L90" s="25">
        <f>SUM(L67,L69,L71,L73,L75,L77,L79,L81,L83,L85,L87,L89)</f>
        <v>100</v>
      </c>
      <c r="M90" s="68" t="str">
        <f>IF(L90 = 100,"","warning")</f>
        <v/>
      </c>
      <c r="N90" s="10" t="s">
        <v>242</v>
      </c>
      <c r="O90" s="25">
        <f>SUM(O67,O69,O71,O73,O75,O77,O79,O81,O83,O85,O87,O89)</f>
        <v>100</v>
      </c>
      <c r="P90" s="68" t="str">
        <f>IF(O90 = 100,"","warning")</f>
        <v/>
      </c>
      <c r="Q90" s="10" t="s">
        <v>242</v>
      </c>
      <c r="R90" s="25">
        <f>SUM(R67,R69,R71,R73,R75,R77,R79,R81,R83,R85,R87,R89)</f>
        <v>100</v>
      </c>
      <c r="S90" s="68" t="str">
        <f>IF(R90 = 100,"","warning")</f>
        <v/>
      </c>
      <c r="T90" s="10" t="s">
        <v>242</v>
      </c>
      <c r="U90" s="25">
        <f>SUM(U67,U69,U71,U73,U75,U77,U79,U81,U83,U85,U87,U89)</f>
        <v>100</v>
      </c>
      <c r="V90" s="68" t="str">
        <f>IF(U90 = 100,"","warning")</f>
        <v/>
      </c>
      <c r="W90" s="10" t="s">
        <v>242</v>
      </c>
      <c r="X90" s="25">
        <f>SUM(X67,X69,X71,X73,X75,X77,X79,X81,X83,X85,X87,X89)</f>
        <v>100</v>
      </c>
      <c r="Y90" s="68" t="str">
        <f>IF(X90 = 100,"","warning")</f>
        <v/>
      </c>
      <c r="Z90" s="10" t="s">
        <v>242</v>
      </c>
      <c r="AA90" s="25">
        <f>SUM(AA67,AA69,AA71,AA73,AA75,AA77,AA79,AA81,AA83,AA85,AA87,AA89)</f>
        <v>100</v>
      </c>
      <c r="AB90" s="68" t="str">
        <f>IF(AA90 = 100,"","warning")</f>
        <v/>
      </c>
      <c r="AC90" s="10" t="s">
        <v>242</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269</v>
      </c>
      <c r="C92" s="25"/>
      <c r="D92" s="62"/>
      <c r="E92" s="24" t="s">
        <v>269</v>
      </c>
      <c r="F92" s="25"/>
      <c r="G92" s="62"/>
      <c r="H92" s="24" t="s">
        <v>269</v>
      </c>
      <c r="I92" s="25"/>
      <c r="J92" s="62"/>
      <c r="K92" s="24" t="s">
        <v>269</v>
      </c>
      <c r="L92" s="25"/>
      <c r="M92" s="62"/>
      <c r="N92" s="24" t="s">
        <v>269</v>
      </c>
      <c r="O92" s="25"/>
      <c r="P92" s="62"/>
      <c r="Q92" s="24" t="s">
        <v>269</v>
      </c>
      <c r="R92" s="25"/>
      <c r="S92" s="62"/>
      <c r="T92" s="24" t="s">
        <v>269</v>
      </c>
      <c r="U92" s="25"/>
      <c r="V92" s="62"/>
      <c r="W92" s="24" t="s">
        <v>269</v>
      </c>
      <c r="X92" s="25"/>
      <c r="Y92" s="62"/>
      <c r="Z92" s="24" t="s">
        <v>269</v>
      </c>
      <c r="AA92" s="25"/>
      <c r="AB92" s="62"/>
      <c r="AC92" s="24" t="s">
        <v>269</v>
      </c>
      <c r="AD92" s="25"/>
      <c r="AE92" s="62"/>
    </row>
    <row r="93" spans="2:31" ht="17.25" x14ac:dyDescent="0.25">
      <c r="B93" s="10" t="s">
        <v>270</v>
      </c>
      <c r="C93" s="25">
        <f>IF(COUNT(D93)=1,D93,1.9)</f>
        <v>1.9</v>
      </c>
      <c r="D93" s="60"/>
      <c r="E93" s="10" t="s">
        <v>270</v>
      </c>
      <c r="F93" s="25">
        <f>IF(COUNT(G93)=1,G93,1.9)</f>
        <v>1.9</v>
      </c>
      <c r="G93" s="60"/>
      <c r="H93" s="10" t="s">
        <v>270</v>
      </c>
      <c r="I93" s="25">
        <f>IF(COUNT(J93)=1,J93,1.9)</f>
        <v>1.9</v>
      </c>
      <c r="J93" s="60"/>
      <c r="K93" s="10" t="s">
        <v>270</v>
      </c>
      <c r="L93" s="25">
        <f>IF(COUNT(M93)=1,M93,1.9)</f>
        <v>1.9</v>
      </c>
      <c r="M93" s="60"/>
      <c r="N93" s="10" t="s">
        <v>270</v>
      </c>
      <c r="O93" s="25">
        <f>IF(COUNT(P93)=1,P93,1.9)</f>
        <v>1.9</v>
      </c>
      <c r="P93" s="60"/>
      <c r="Q93" s="10" t="s">
        <v>270</v>
      </c>
      <c r="R93" s="25">
        <f>IF(COUNT(S93)=1,S93,1.9)</f>
        <v>1.9</v>
      </c>
      <c r="S93" s="60"/>
      <c r="T93" s="10" t="s">
        <v>270</v>
      </c>
      <c r="U93" s="25">
        <f>IF(COUNT(V93)=1,V93,1.9)</f>
        <v>1.9</v>
      </c>
      <c r="V93" s="60"/>
      <c r="W93" s="10" t="s">
        <v>270</v>
      </c>
      <c r="X93" s="25">
        <f>IF(COUNT(Y93)=1,Y93,1.9)</f>
        <v>1.9</v>
      </c>
      <c r="Y93" s="60"/>
      <c r="Z93" s="10" t="s">
        <v>270</v>
      </c>
      <c r="AA93" s="25">
        <f>IF(COUNT(AB93)=1,AB93,1.9)</f>
        <v>1.9</v>
      </c>
      <c r="AB93" s="60"/>
      <c r="AC93" s="10" t="s">
        <v>270</v>
      </c>
      <c r="AD93" s="25">
        <f>IF(COUNT(AE93)=1,AE93,1.9)</f>
        <v>1.9</v>
      </c>
      <c r="AE93" s="60"/>
    </row>
    <row r="94" spans="2:31" ht="17.25" x14ac:dyDescent="0.25">
      <c r="B94" s="10" t="s">
        <v>271</v>
      </c>
      <c r="C94" s="25">
        <f>IF(COUNT(D94)=1,D94,20)</f>
        <v>0</v>
      </c>
      <c r="D94" s="61">
        <v>0</v>
      </c>
      <c r="E94" s="10" t="s">
        <v>271</v>
      </c>
      <c r="F94" s="25">
        <f>IF(COUNT(G94)=1,G94,20)</f>
        <v>20</v>
      </c>
      <c r="G94" s="61"/>
      <c r="H94" s="10" t="s">
        <v>271</v>
      </c>
      <c r="I94" s="25">
        <f>IF(COUNT(J94)=1,J94,20)</f>
        <v>20</v>
      </c>
      <c r="J94" s="61"/>
      <c r="K94" s="10" t="s">
        <v>271</v>
      </c>
      <c r="L94" s="25">
        <f>IF(COUNT(M94)=1,M94,20)</f>
        <v>20</v>
      </c>
      <c r="M94" s="61"/>
      <c r="N94" s="10" t="s">
        <v>271</v>
      </c>
      <c r="O94" s="25">
        <f>IF(COUNT(P94)=1,P94,20)</f>
        <v>20</v>
      </c>
      <c r="P94" s="61"/>
      <c r="Q94" s="10" t="s">
        <v>271</v>
      </c>
      <c r="R94" s="25">
        <f>IF(COUNT(S94)=1,S94,20)</f>
        <v>20</v>
      </c>
      <c r="S94" s="61"/>
      <c r="T94" s="10" t="s">
        <v>271</v>
      </c>
      <c r="U94" s="25">
        <f>IF(COUNT(V94)=1,V94,20)</f>
        <v>20</v>
      </c>
      <c r="V94" s="61"/>
      <c r="W94" s="10" t="s">
        <v>271</v>
      </c>
      <c r="X94" s="25">
        <f>IF(COUNT(Y94)=1,Y94,20)</f>
        <v>20</v>
      </c>
      <c r="Y94" s="61"/>
      <c r="Z94" s="10" t="s">
        <v>271</v>
      </c>
      <c r="AA94" s="25">
        <f>IF(COUNT(AB94)=1,AB94,20)</f>
        <v>20</v>
      </c>
      <c r="AB94" s="61"/>
      <c r="AC94" s="10" t="s">
        <v>271</v>
      </c>
      <c r="AD94" s="25">
        <f>IF(COUNT(AE94)=1,AE94,20)</f>
        <v>20</v>
      </c>
      <c r="AE94" s="61"/>
    </row>
    <row r="96" spans="2:31" x14ac:dyDescent="0.25">
      <c r="B96" s="26" t="s">
        <v>272</v>
      </c>
      <c r="C96" s="22"/>
      <c r="D96" s="65"/>
      <c r="E96" s="26" t="s">
        <v>272</v>
      </c>
      <c r="F96" s="22"/>
      <c r="G96" s="65"/>
      <c r="H96" s="26" t="s">
        <v>272</v>
      </c>
      <c r="I96" s="22"/>
      <c r="J96" s="65"/>
      <c r="K96" s="26" t="s">
        <v>272</v>
      </c>
      <c r="L96" s="22"/>
      <c r="M96" s="65"/>
      <c r="N96" s="26" t="s">
        <v>272</v>
      </c>
      <c r="O96" s="22"/>
      <c r="P96" s="65"/>
      <c r="Q96" s="26" t="s">
        <v>272</v>
      </c>
      <c r="R96" s="22"/>
      <c r="S96" s="65"/>
      <c r="T96" s="26" t="s">
        <v>272</v>
      </c>
      <c r="U96" s="22"/>
      <c r="V96" s="65"/>
      <c r="W96" s="26" t="s">
        <v>272</v>
      </c>
      <c r="X96" s="22"/>
      <c r="Y96" s="65"/>
      <c r="Z96" s="26" t="s">
        <v>272</v>
      </c>
      <c r="AA96" s="22"/>
      <c r="AB96" s="65"/>
      <c r="AC96" s="26" t="s">
        <v>272</v>
      </c>
      <c r="AD96" s="22"/>
      <c r="AE96" s="65"/>
    </row>
    <row r="97" spans="2:31" x14ac:dyDescent="0.25">
      <c r="B97" s="10" t="s">
        <v>149</v>
      </c>
      <c r="C97" s="22">
        <f>IF(COUNT(D97)=1,D97,HLOOKUP('in-barn'!C9,defaults!$A$142:$C$145,MATCH('out-of-barn'!B97,defaults!$A142:$A145,0),FALSE))</f>
        <v>15</v>
      </c>
      <c r="D97" s="61"/>
      <c r="E97" s="10" t="s">
        <v>149</v>
      </c>
      <c r="F97" s="22">
        <f>IF(COUNT(G97)=1,G97,HLOOKUP('in-barn'!F9,defaults!$A$142:$C$145,MATCH('out-of-barn'!E97,defaults!$A142:$A145,0),FALSE))</f>
        <v>15</v>
      </c>
      <c r="G97" s="61"/>
      <c r="H97" s="10" t="s">
        <v>149</v>
      </c>
      <c r="I97" s="22">
        <f>IF(COUNT(J97)=1,J97,HLOOKUP('in-barn'!I9,defaults!$A$142:$C$145,MATCH('out-of-barn'!H97,defaults!$A142:$A145,0),FALSE))</f>
        <v>15</v>
      </c>
      <c r="J97" s="61"/>
      <c r="K97" s="10" t="s">
        <v>149</v>
      </c>
      <c r="L97" s="22">
        <f>IF(COUNT(M97)=1,M97,HLOOKUP('in-barn'!L9,defaults!$A$142:$C$145,MATCH('out-of-barn'!K97,defaults!$A142:$A145,0),FALSE))</f>
        <v>15</v>
      </c>
      <c r="M97" s="61"/>
      <c r="N97" s="10" t="s">
        <v>149</v>
      </c>
      <c r="O97" s="22">
        <f>IF(COUNT(P97)=1,P97,HLOOKUP('in-barn'!O9,defaults!$A$142:$C$145,MATCH('out-of-barn'!N97,defaults!$A142:$A145,0),FALSE))</f>
        <v>15</v>
      </c>
      <c r="P97" s="61"/>
      <c r="Q97" s="10" t="s">
        <v>149</v>
      </c>
      <c r="R97" s="22">
        <f>IF(COUNT(S97)=1,S97,HLOOKUP('in-barn'!R9,defaults!$A$142:$C$145,MATCH('out-of-barn'!Q97,defaults!$A142:$A145,0),FALSE))</f>
        <v>15</v>
      </c>
      <c r="S97" s="61"/>
      <c r="T97" s="10" t="s">
        <v>149</v>
      </c>
      <c r="U97" s="22">
        <f>IF(COUNT(V97)=1,V97,HLOOKUP('in-barn'!U9,defaults!$A$142:$C$145,MATCH('out-of-barn'!T97,defaults!$A142:$A145,0),FALSE))</f>
        <v>15</v>
      </c>
      <c r="V97" s="61"/>
      <c r="W97" s="10" t="s">
        <v>149</v>
      </c>
      <c r="X97" s="22">
        <f>IF(COUNT(Y97)=1,Y97,HLOOKUP('in-barn'!X9,defaults!$A$142:$C$145,MATCH('out-of-barn'!W97,defaults!$A142:$A145,0),FALSE))</f>
        <v>15</v>
      </c>
      <c r="Y97" s="61"/>
      <c r="Z97" s="10" t="s">
        <v>149</v>
      </c>
      <c r="AA97" s="22">
        <f>IF(COUNT(AB97)=1,AB97,HLOOKUP('in-barn'!AA9,defaults!$A$142:$C$145,MATCH('out-of-barn'!Z97,defaults!$A142:$A145,0),FALSE))</f>
        <v>15</v>
      </c>
      <c r="AB97" s="61"/>
      <c r="AC97" s="10" t="s">
        <v>149</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40" priority="97">
      <formula>#REF!</formula>
    </cfRule>
  </conditionalFormatting>
  <conditionalFormatting sqref="D96:D97">
    <cfRule type="expression" dxfId="39" priority="43">
      <formula>#REF!</formula>
    </cfRule>
  </conditionalFormatting>
  <conditionalFormatting sqref="G8:G94">
    <cfRule type="expression" dxfId="38" priority="38">
      <formula>#REF!</formula>
    </cfRule>
  </conditionalFormatting>
  <conditionalFormatting sqref="G96:G97">
    <cfRule type="expression" dxfId="37" priority="37">
      <formula>#REF!</formula>
    </cfRule>
  </conditionalFormatting>
  <conditionalFormatting sqref="J8:J94">
    <cfRule type="expression" dxfId="36" priority="36">
      <formula>#REF!</formula>
    </cfRule>
  </conditionalFormatting>
  <conditionalFormatting sqref="J96:J97">
    <cfRule type="expression" dxfId="35" priority="35">
      <formula>#REF!</formula>
    </cfRule>
  </conditionalFormatting>
  <conditionalFormatting sqref="M8:M94">
    <cfRule type="expression" dxfId="34" priority="34">
      <formula>#REF!</formula>
    </cfRule>
  </conditionalFormatting>
  <conditionalFormatting sqref="M96:M97">
    <cfRule type="expression" dxfId="33" priority="33">
      <formula>#REF!</formula>
    </cfRule>
  </conditionalFormatting>
  <conditionalFormatting sqref="P8:P94">
    <cfRule type="expression" dxfId="32" priority="32">
      <formula>#REF!</formula>
    </cfRule>
  </conditionalFormatting>
  <conditionalFormatting sqref="P96:P97">
    <cfRule type="expression" dxfId="31" priority="31">
      <formula>#REF!</formula>
    </cfRule>
  </conditionalFormatting>
  <conditionalFormatting sqref="S8:S94">
    <cfRule type="expression" dxfId="30" priority="30">
      <formula>#REF!</formula>
    </cfRule>
  </conditionalFormatting>
  <conditionalFormatting sqref="S96:S97">
    <cfRule type="expression" dxfId="29" priority="29">
      <formula>#REF!</formula>
    </cfRule>
  </conditionalFormatting>
  <conditionalFormatting sqref="V8:V94">
    <cfRule type="expression" dxfId="28" priority="28">
      <formula>#REF!</formula>
    </cfRule>
  </conditionalFormatting>
  <conditionalFormatting sqref="V96:V97">
    <cfRule type="expression" dxfId="27" priority="27">
      <formula>#REF!</formula>
    </cfRule>
  </conditionalFormatting>
  <conditionalFormatting sqref="Y8:Y94">
    <cfRule type="expression" dxfId="26" priority="26">
      <formula>#REF!</formula>
    </cfRule>
  </conditionalFormatting>
  <conditionalFormatting sqref="Y96:Y97">
    <cfRule type="expression" dxfId="25" priority="25">
      <formula>#REF!</formula>
    </cfRule>
  </conditionalFormatting>
  <conditionalFormatting sqref="AB8:AB94">
    <cfRule type="expression" dxfId="24" priority="24">
      <formula>#REF!</formula>
    </cfRule>
  </conditionalFormatting>
  <conditionalFormatting sqref="AB96:AB97">
    <cfRule type="expression" dxfId="23" priority="23">
      <formula>#REF!</formula>
    </cfRule>
  </conditionalFormatting>
  <conditionalFormatting sqref="AE8:AE94">
    <cfRule type="expression" dxfId="22" priority="22">
      <formula>#REF!</formula>
    </cfRule>
  </conditionalFormatting>
  <conditionalFormatting sqref="AE96:AE97">
    <cfRule type="expression" dxfId="21" priority="21">
      <formula>#REF!</formula>
    </cfRule>
  </conditionalFormatting>
  <conditionalFormatting sqref="C8">
    <cfRule type="expression" dxfId="20" priority="20">
      <formula>$C$8="deactive"</formula>
    </cfRule>
  </conditionalFormatting>
  <conditionalFormatting sqref="F8">
    <cfRule type="expression" dxfId="19" priority="19">
      <formula>$C$8="deactive"</formula>
    </cfRule>
  </conditionalFormatting>
  <conditionalFormatting sqref="I8">
    <cfRule type="expression" dxfId="18" priority="18">
      <formula>$C$8="deactive"</formula>
    </cfRule>
  </conditionalFormatting>
  <conditionalFormatting sqref="L8">
    <cfRule type="expression" dxfId="17" priority="17">
      <formula>$C$8="deactive"</formula>
    </cfRule>
  </conditionalFormatting>
  <conditionalFormatting sqref="O8">
    <cfRule type="expression" dxfId="16" priority="16">
      <formula>$C$8="deactive"</formula>
    </cfRule>
  </conditionalFormatting>
  <conditionalFormatting sqref="R8">
    <cfRule type="expression" dxfId="15" priority="15">
      <formula>$C$8="deactive"</formula>
    </cfRule>
  </conditionalFormatting>
  <conditionalFormatting sqref="U8">
    <cfRule type="expression" dxfId="14" priority="14">
      <formula>$C$8="deactive"</formula>
    </cfRule>
  </conditionalFormatting>
  <conditionalFormatting sqref="X8">
    <cfRule type="expression" dxfId="13" priority="13">
      <formula>$C$8="deactive"</formula>
    </cfRule>
  </conditionalFormatting>
  <conditionalFormatting sqref="AA8">
    <cfRule type="expression" dxfId="12" priority="12">
      <formula>$C$8="deactive"</formula>
    </cfRule>
  </conditionalFormatting>
  <conditionalFormatting sqref="AD8">
    <cfRule type="expression" dxfId="11" priority="11">
      <formula>$C$8="deactive"</formula>
    </cfRule>
  </conditionalFormatting>
  <conditionalFormatting sqref="B1:D1048576">
    <cfRule type="expression" dxfId="10" priority="10">
      <formula>$C$8="deactive"</formula>
    </cfRule>
  </conditionalFormatting>
  <conditionalFormatting sqref="E1:G1048576">
    <cfRule type="expression" dxfId="9" priority="9">
      <formula>$F$8="deactive"</formula>
    </cfRule>
  </conditionalFormatting>
  <conditionalFormatting sqref="H1:J1048576">
    <cfRule type="expression" dxfId="8" priority="8">
      <formula>$I$8="deactive"</formula>
    </cfRule>
  </conditionalFormatting>
  <conditionalFormatting sqref="K1:M1048576">
    <cfRule type="expression" dxfId="7" priority="7">
      <formula>$L$8="deactive"</formula>
    </cfRule>
  </conditionalFormatting>
  <conditionalFormatting sqref="N1:P1048576">
    <cfRule type="expression" dxfId="6" priority="6">
      <formula>$O$8="deactive"</formula>
    </cfRule>
  </conditionalFormatting>
  <conditionalFormatting sqref="Q1:S1048576">
    <cfRule type="expression" dxfId="5" priority="5">
      <formula>$R$8="deactive"</formula>
    </cfRule>
  </conditionalFormatting>
  <conditionalFormatting sqref="T1:V1048576">
    <cfRule type="expression" dxfId="4" priority="4">
      <formula>$U$8="deactive"</formula>
    </cfRule>
  </conditionalFormatting>
  <conditionalFormatting sqref="W1:Y1048576">
    <cfRule type="expression" dxfId="3" priority="3">
      <formula>$X$8="deactive"</formula>
    </cfRule>
  </conditionalFormatting>
  <conditionalFormatting sqref="Z1:AB1048576">
    <cfRule type="expression" dxfId="2" priority="2">
      <formula>$AA$8="deactive"</formula>
    </cfRule>
  </conditionalFormatting>
  <conditionalFormatting sqref="AC1:AE1048576">
    <cfRule type="expression" dxfId="1"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D37 D65 G37 G65 J37 J65 M37 M65 P37 P65 S37 S65 V37 V65 Y37 Y65 AB37 AB65 AE37 AE65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273</v>
      </c>
      <c r="B1" s="41" t="s">
        <v>274</v>
      </c>
      <c r="C1" s="41" t="s">
        <v>275</v>
      </c>
      <c r="D1" s="41" t="s">
        <v>276</v>
      </c>
      <c r="E1" s="41" t="s">
        <v>277</v>
      </c>
      <c r="F1" s="41" t="s">
        <v>278</v>
      </c>
      <c r="G1" s="41" t="s">
        <v>279</v>
      </c>
      <c r="H1" s="41" t="s">
        <v>280</v>
      </c>
    </row>
    <row r="2" spans="1:8" x14ac:dyDescent="0.25">
      <c r="A2" t="s">
        <v>281</v>
      </c>
      <c r="C2">
        <v>0</v>
      </c>
      <c r="D2">
        <v>2.67</v>
      </c>
      <c r="E2">
        <v>6.55</v>
      </c>
      <c r="F2">
        <v>8.23</v>
      </c>
      <c r="G2">
        <v>7.7</v>
      </c>
      <c r="H2">
        <v>18.75</v>
      </c>
    </row>
    <row r="3" spans="1:8" x14ac:dyDescent="0.25">
      <c r="A3" t="s">
        <v>282</v>
      </c>
      <c r="B3">
        <v>1</v>
      </c>
      <c r="C3">
        <v>15</v>
      </c>
      <c r="D3">
        <v>1.97</v>
      </c>
      <c r="E3">
        <v>6.2</v>
      </c>
      <c r="F3">
        <v>7.71</v>
      </c>
      <c r="G3">
        <v>7.4</v>
      </c>
      <c r="H3">
        <v>18</v>
      </c>
    </row>
    <row r="4" spans="1:8" x14ac:dyDescent="0.25">
      <c r="A4" t="s">
        <v>283</v>
      </c>
      <c r="B4">
        <v>2</v>
      </c>
      <c r="C4">
        <v>46</v>
      </c>
      <c r="D4">
        <v>1.72</v>
      </c>
      <c r="E4">
        <v>6.07</v>
      </c>
      <c r="F4">
        <v>7.52</v>
      </c>
      <c r="G4">
        <v>7.2</v>
      </c>
      <c r="H4">
        <v>16.5</v>
      </c>
    </row>
    <row r="5" spans="1:8" x14ac:dyDescent="0.25">
      <c r="A5" t="s">
        <v>284</v>
      </c>
      <c r="B5">
        <v>3</v>
      </c>
      <c r="C5">
        <v>76</v>
      </c>
      <c r="D5">
        <v>3.59</v>
      </c>
      <c r="E5">
        <v>7.02</v>
      </c>
      <c r="F5">
        <v>8.92</v>
      </c>
      <c r="G5">
        <v>8.6</v>
      </c>
      <c r="H5">
        <v>12.75</v>
      </c>
    </row>
    <row r="6" spans="1:8" x14ac:dyDescent="0.25">
      <c r="A6" t="s">
        <v>155</v>
      </c>
      <c r="B6">
        <v>4</v>
      </c>
      <c r="C6">
        <v>107</v>
      </c>
      <c r="D6">
        <v>7.2</v>
      </c>
      <c r="E6">
        <v>8.8699999999999992</v>
      </c>
      <c r="F6">
        <v>11.63</v>
      </c>
      <c r="G6">
        <v>11.9</v>
      </c>
      <c r="H6">
        <v>9</v>
      </c>
    </row>
    <row r="7" spans="1:8" x14ac:dyDescent="0.25">
      <c r="A7" t="s">
        <v>285</v>
      </c>
      <c r="B7">
        <v>5</v>
      </c>
      <c r="C7">
        <v>137</v>
      </c>
      <c r="D7">
        <v>11</v>
      </c>
      <c r="E7">
        <v>10.8</v>
      </c>
      <c r="F7">
        <v>14.51</v>
      </c>
      <c r="G7">
        <v>14.9</v>
      </c>
      <c r="H7">
        <v>11</v>
      </c>
    </row>
    <row r="8" spans="1:8" x14ac:dyDescent="0.25">
      <c r="A8" t="s">
        <v>286</v>
      </c>
      <c r="B8">
        <v>6</v>
      </c>
      <c r="C8">
        <v>168</v>
      </c>
      <c r="D8">
        <v>15</v>
      </c>
      <c r="E8">
        <v>12.8</v>
      </c>
      <c r="F8">
        <v>17.46</v>
      </c>
      <c r="G8">
        <v>17.3</v>
      </c>
      <c r="H8">
        <v>18</v>
      </c>
    </row>
    <row r="9" spans="1:8" x14ac:dyDescent="0.25">
      <c r="A9" t="s">
        <v>287</v>
      </c>
      <c r="B9">
        <v>7</v>
      </c>
      <c r="C9">
        <v>198</v>
      </c>
      <c r="D9">
        <v>16.7</v>
      </c>
      <c r="E9">
        <v>13.7</v>
      </c>
      <c r="F9">
        <v>18.75</v>
      </c>
      <c r="G9">
        <v>19.399999999999999</v>
      </c>
      <c r="H9">
        <v>23</v>
      </c>
    </row>
    <row r="10" spans="1:8" x14ac:dyDescent="0.25">
      <c r="A10" t="s">
        <v>159</v>
      </c>
      <c r="B10">
        <v>8</v>
      </c>
      <c r="C10">
        <v>229</v>
      </c>
      <c r="D10">
        <v>16.7</v>
      </c>
      <c r="E10">
        <v>13.7</v>
      </c>
      <c r="F10">
        <v>18.78</v>
      </c>
      <c r="G10">
        <v>19.2</v>
      </c>
      <c r="H10">
        <v>27.5</v>
      </c>
    </row>
    <row r="11" spans="1:8" x14ac:dyDescent="0.25">
      <c r="A11" t="s">
        <v>160</v>
      </c>
      <c r="B11">
        <v>9</v>
      </c>
      <c r="C11">
        <v>259</v>
      </c>
      <c r="D11">
        <v>13.8</v>
      </c>
      <c r="E11">
        <v>12.2</v>
      </c>
      <c r="F11">
        <v>16.57</v>
      </c>
      <c r="G11">
        <v>16.7</v>
      </c>
      <c r="H11">
        <v>20</v>
      </c>
    </row>
    <row r="12" spans="1:8" x14ac:dyDescent="0.25">
      <c r="A12" t="s">
        <v>288</v>
      </c>
      <c r="B12">
        <v>10</v>
      </c>
      <c r="C12">
        <v>290</v>
      </c>
      <c r="D12">
        <v>9.8699999999999992</v>
      </c>
      <c r="E12">
        <v>10.199999999999999</v>
      </c>
      <c r="F12">
        <v>13.63</v>
      </c>
      <c r="G12">
        <v>13.4</v>
      </c>
      <c r="H12">
        <v>18.670000000000002</v>
      </c>
    </row>
    <row r="13" spans="1:8" x14ac:dyDescent="0.25">
      <c r="A13" t="s">
        <v>162</v>
      </c>
      <c r="B13">
        <v>11</v>
      </c>
      <c r="C13">
        <v>320</v>
      </c>
      <c r="D13">
        <v>6.38</v>
      </c>
      <c r="E13">
        <v>8.4499999999999993</v>
      </c>
      <c r="F13">
        <v>11.01</v>
      </c>
      <c r="G13">
        <v>10.6</v>
      </c>
      <c r="H13">
        <v>17</v>
      </c>
    </row>
    <row r="14" spans="1:8" x14ac:dyDescent="0.25">
      <c r="A14" t="s">
        <v>163</v>
      </c>
      <c r="B14">
        <v>12</v>
      </c>
      <c r="C14">
        <v>351</v>
      </c>
      <c r="D14">
        <v>3.37</v>
      </c>
      <c r="E14">
        <v>6.91</v>
      </c>
      <c r="F14">
        <v>8.76</v>
      </c>
      <c r="G14">
        <v>8</v>
      </c>
      <c r="H14">
        <v>19.5</v>
      </c>
    </row>
    <row r="15" spans="1:8" x14ac:dyDescent="0.25">
      <c r="A15" t="s">
        <v>289</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290</v>
      </c>
      <c r="B1" s="8" t="s">
        <v>291</v>
      </c>
      <c r="C1" s="8" t="s">
        <v>274</v>
      </c>
      <c r="D1" s="8" t="s">
        <v>292</v>
      </c>
      <c r="E1" s="8" t="s">
        <v>293</v>
      </c>
      <c r="F1" s="8" t="s">
        <v>294</v>
      </c>
      <c r="G1" s="8" t="s">
        <v>185</v>
      </c>
      <c r="H1" s="8" t="s">
        <v>295</v>
      </c>
      <c r="I1" s="8" t="s">
        <v>296</v>
      </c>
      <c r="J1" s="8" t="s">
        <v>297</v>
      </c>
      <c r="K1" s="8" t="s">
        <v>298</v>
      </c>
      <c r="L1" s="8" t="s">
        <v>299</v>
      </c>
      <c r="M1" s="8" t="s">
        <v>300</v>
      </c>
      <c r="N1" s="8" t="s">
        <v>192</v>
      </c>
      <c r="O1" s="8" t="s">
        <v>301</v>
      </c>
      <c r="P1" s="8" t="s">
        <v>302</v>
      </c>
      <c r="Q1" s="8" t="s">
        <v>303</v>
      </c>
    </row>
    <row r="2" spans="1:17" x14ac:dyDescent="0.2">
      <c r="A2" s="9" t="s">
        <v>131</v>
      </c>
      <c r="B2" s="9" t="s">
        <v>53</v>
      </c>
      <c r="C2" s="9" t="s">
        <v>152</v>
      </c>
      <c r="D2" s="9" t="s">
        <v>8</v>
      </c>
      <c r="E2" s="9" t="s">
        <v>1</v>
      </c>
      <c r="F2" s="9" t="s">
        <v>36</v>
      </c>
      <c r="G2" s="9" t="s">
        <v>186</v>
      </c>
      <c r="H2" s="9" t="s">
        <v>171</v>
      </c>
      <c r="I2" s="7" t="s">
        <v>186</v>
      </c>
      <c r="J2" s="9" t="s">
        <v>171</v>
      </c>
      <c r="K2" s="9" t="s">
        <v>304</v>
      </c>
      <c r="L2" s="9" t="s">
        <v>305</v>
      </c>
      <c r="N2" s="9" t="s">
        <v>186</v>
      </c>
      <c r="O2" s="9" t="s">
        <v>171</v>
      </c>
      <c r="P2" s="9" t="s">
        <v>171</v>
      </c>
      <c r="Q2" s="9" t="s">
        <v>171</v>
      </c>
    </row>
    <row r="3" spans="1:17" x14ac:dyDescent="0.2">
      <c r="A3" s="9" t="s">
        <v>132</v>
      </c>
      <c r="B3" s="9" t="s">
        <v>54</v>
      </c>
      <c r="C3" s="9" t="s">
        <v>153</v>
      </c>
      <c r="D3" s="9" t="s">
        <v>9</v>
      </c>
      <c r="E3" s="9" t="s">
        <v>2</v>
      </c>
      <c r="F3" s="9" t="s">
        <v>37</v>
      </c>
      <c r="G3" s="9" t="s">
        <v>306</v>
      </c>
      <c r="H3" s="9" t="s">
        <v>186</v>
      </c>
      <c r="I3" s="7" t="s">
        <v>206</v>
      </c>
      <c r="J3" s="9" t="s">
        <v>186</v>
      </c>
      <c r="K3" s="9" t="s">
        <v>115</v>
      </c>
      <c r="L3" s="9" t="s">
        <v>307</v>
      </c>
      <c r="N3" s="9" t="s">
        <v>171</v>
      </c>
      <c r="O3" s="9" t="s">
        <v>186</v>
      </c>
      <c r="P3" s="9" t="s">
        <v>186</v>
      </c>
      <c r="Q3" s="9" t="s">
        <v>186</v>
      </c>
    </row>
    <row r="4" spans="1:17" x14ac:dyDescent="0.2">
      <c r="A4" s="9" t="s">
        <v>133</v>
      </c>
      <c r="B4" s="9" t="s">
        <v>55</v>
      </c>
      <c r="C4" s="9" t="s">
        <v>154</v>
      </c>
      <c r="D4" s="9" t="s">
        <v>10</v>
      </c>
      <c r="E4" s="9" t="s">
        <v>3</v>
      </c>
      <c r="G4" s="9" t="s">
        <v>308</v>
      </c>
      <c r="I4" s="7" t="s">
        <v>309</v>
      </c>
      <c r="K4" s="9" t="s">
        <v>180</v>
      </c>
      <c r="L4" s="9" t="s">
        <v>310</v>
      </c>
    </row>
    <row r="5" spans="1:17" x14ac:dyDescent="0.2">
      <c r="B5" s="9" t="s">
        <v>56</v>
      </c>
      <c r="C5" s="9" t="s">
        <v>155</v>
      </c>
      <c r="D5" s="9" t="s">
        <v>11</v>
      </c>
      <c r="E5" s="9" t="s">
        <v>4</v>
      </c>
      <c r="I5" s="7" t="s">
        <v>311</v>
      </c>
      <c r="K5" s="9" t="s">
        <v>127</v>
      </c>
      <c r="L5" s="9" t="s">
        <v>312</v>
      </c>
    </row>
    <row r="6" spans="1:17" x14ac:dyDescent="0.2">
      <c r="C6" s="9" t="s">
        <v>156</v>
      </c>
      <c r="D6" s="9" t="s">
        <v>12</v>
      </c>
      <c r="E6" s="9" t="s">
        <v>313</v>
      </c>
      <c r="I6" s="7" t="s">
        <v>314</v>
      </c>
      <c r="K6" s="9" t="s">
        <v>315</v>
      </c>
      <c r="L6" s="9" t="s">
        <v>316</v>
      </c>
    </row>
    <row r="7" spans="1:17" x14ac:dyDescent="0.2">
      <c r="C7" s="9" t="s">
        <v>157</v>
      </c>
      <c r="D7" s="9" t="s">
        <v>13</v>
      </c>
      <c r="I7" s="7" t="s">
        <v>317</v>
      </c>
      <c r="K7" s="9" t="s">
        <v>126</v>
      </c>
      <c r="L7" s="9" t="s">
        <v>318</v>
      </c>
    </row>
    <row r="8" spans="1:17" x14ac:dyDescent="0.2">
      <c r="C8" s="9" t="s">
        <v>158</v>
      </c>
      <c r="D8" s="9" t="s">
        <v>14</v>
      </c>
      <c r="I8" s="7" t="s">
        <v>319</v>
      </c>
      <c r="K8" s="9" t="s">
        <v>320</v>
      </c>
      <c r="L8" s="9" t="s">
        <v>321</v>
      </c>
    </row>
    <row r="9" spans="1:17" x14ac:dyDescent="0.2">
      <c r="B9" s="9" t="s">
        <v>59</v>
      </c>
      <c r="C9" s="9" t="s">
        <v>159</v>
      </c>
      <c r="D9" s="9" t="s">
        <v>15</v>
      </c>
      <c r="I9" s="7" t="s">
        <v>322</v>
      </c>
      <c r="K9" s="9" t="s">
        <v>323</v>
      </c>
      <c r="L9" s="9" t="s">
        <v>324</v>
      </c>
    </row>
    <row r="10" spans="1:17" x14ac:dyDescent="0.2">
      <c r="B10" s="9" t="s">
        <v>60</v>
      </c>
      <c r="C10" s="9" t="s">
        <v>160</v>
      </c>
      <c r="D10" s="9" t="s">
        <v>16</v>
      </c>
      <c r="I10" s="7" t="s">
        <v>325</v>
      </c>
      <c r="K10" s="9" t="s">
        <v>326</v>
      </c>
      <c r="L10" s="9" t="s">
        <v>327</v>
      </c>
    </row>
    <row r="11" spans="1:17" x14ac:dyDescent="0.2">
      <c r="B11" s="9" t="s">
        <v>69</v>
      </c>
      <c r="C11" s="9" t="s">
        <v>161</v>
      </c>
      <c r="D11" s="9" t="s">
        <v>17</v>
      </c>
      <c r="I11" s="7" t="s">
        <v>328</v>
      </c>
      <c r="K11" s="9" t="s">
        <v>181</v>
      </c>
      <c r="L11" s="9" t="s">
        <v>329</v>
      </c>
    </row>
    <row r="12" spans="1:17" x14ac:dyDescent="0.2">
      <c r="B12" s="9" t="s">
        <v>70</v>
      </c>
      <c r="C12" s="9" t="s">
        <v>162</v>
      </c>
      <c r="D12" s="9" t="s">
        <v>18</v>
      </c>
      <c r="I12" s="7" t="s">
        <v>330</v>
      </c>
      <c r="K12" s="9" t="s">
        <v>331</v>
      </c>
      <c r="L12" s="9" t="s">
        <v>332</v>
      </c>
    </row>
    <row r="13" spans="1:17" x14ac:dyDescent="0.2">
      <c r="B13" s="9" t="s">
        <v>71</v>
      </c>
      <c r="C13" s="9" t="s">
        <v>163</v>
      </c>
      <c r="D13" s="9" t="s">
        <v>19</v>
      </c>
      <c r="I13" s="7" t="s">
        <v>333</v>
      </c>
      <c r="K13" s="9" t="s">
        <v>334</v>
      </c>
      <c r="L13" s="9" t="s">
        <v>335</v>
      </c>
    </row>
    <row r="14" spans="1:17" x14ac:dyDescent="0.2">
      <c r="B14" s="9" t="s">
        <v>72</v>
      </c>
      <c r="D14" s="9" t="s">
        <v>20</v>
      </c>
      <c r="K14" s="9" t="s">
        <v>336</v>
      </c>
      <c r="L14" s="9" t="s">
        <v>337</v>
      </c>
    </row>
    <row r="15" spans="1:17" x14ac:dyDescent="0.2">
      <c r="B15" s="9" t="s">
        <v>73</v>
      </c>
      <c r="D15" s="9" t="s">
        <v>21</v>
      </c>
      <c r="K15" s="9" t="s">
        <v>338</v>
      </c>
      <c r="L15" s="9" t="s">
        <v>339</v>
      </c>
    </row>
    <row r="16" spans="1:17" x14ac:dyDescent="0.2">
      <c r="B16" s="9" t="s">
        <v>74</v>
      </c>
      <c r="D16" s="9" t="s">
        <v>22</v>
      </c>
      <c r="K16" s="9" t="s">
        <v>179</v>
      </c>
      <c r="L16" s="9" t="s">
        <v>340</v>
      </c>
    </row>
    <row r="17" spans="2:12" x14ac:dyDescent="0.2">
      <c r="B17" s="9" t="s">
        <v>75</v>
      </c>
      <c r="D17" s="9" t="s">
        <v>23</v>
      </c>
      <c r="K17" s="9" t="s">
        <v>341</v>
      </c>
      <c r="L17" s="9" t="s">
        <v>342</v>
      </c>
    </row>
    <row r="18" spans="2:12" x14ac:dyDescent="0.2">
      <c r="B18" s="9" t="s">
        <v>76</v>
      </c>
      <c r="D18" s="9" t="s">
        <v>24</v>
      </c>
      <c r="K18" s="9" t="s">
        <v>121</v>
      </c>
      <c r="L18" s="9" t="s">
        <v>343</v>
      </c>
    </row>
    <row r="19" spans="2:12" x14ac:dyDescent="0.2">
      <c r="B19" s="9" t="s">
        <v>344</v>
      </c>
      <c r="K19" s="9" t="s">
        <v>128</v>
      </c>
      <c r="L19" s="9" t="s">
        <v>345</v>
      </c>
    </row>
    <row r="20" spans="2:12" x14ac:dyDescent="0.2">
      <c r="B20" s="9" t="s">
        <v>346</v>
      </c>
      <c r="D20" s="9" t="s">
        <v>28</v>
      </c>
      <c r="K20" s="9" t="s">
        <v>347</v>
      </c>
      <c r="L20" s="9" t="s">
        <v>348</v>
      </c>
    </row>
    <row r="21" spans="2:12" x14ac:dyDescent="0.2">
      <c r="B21" s="9" t="s">
        <v>349</v>
      </c>
      <c r="D21" s="9" t="s">
        <v>25</v>
      </c>
      <c r="K21" s="9" t="s">
        <v>350</v>
      </c>
      <c r="L21" s="9" t="s">
        <v>351</v>
      </c>
    </row>
    <row r="22" spans="2:12" x14ac:dyDescent="0.2">
      <c r="B22" s="9" t="s">
        <v>61</v>
      </c>
      <c r="D22" s="9" t="s">
        <v>26</v>
      </c>
      <c r="K22" s="9" t="s">
        <v>352</v>
      </c>
      <c r="L22" s="9" t="s">
        <v>353</v>
      </c>
    </row>
    <row r="23" spans="2:12" x14ac:dyDescent="0.2">
      <c r="B23" s="9" t="s">
        <v>62</v>
      </c>
      <c r="D23" s="9" t="s">
        <v>27</v>
      </c>
      <c r="K23" s="9" t="s">
        <v>124</v>
      </c>
      <c r="L23" s="9" t="s">
        <v>354</v>
      </c>
    </row>
    <row r="24" spans="2:12" x14ac:dyDescent="0.2">
      <c r="B24" s="9" t="s">
        <v>63</v>
      </c>
      <c r="D24" s="9" t="s">
        <v>29</v>
      </c>
      <c r="K24" s="9" t="s">
        <v>125</v>
      </c>
      <c r="L24" s="9" t="s">
        <v>355</v>
      </c>
    </row>
    <row r="25" spans="2:12" x14ac:dyDescent="0.2">
      <c r="B25" s="9" t="s">
        <v>64</v>
      </c>
      <c r="D25" s="9" t="s">
        <v>30</v>
      </c>
      <c r="K25" s="9" t="s">
        <v>116</v>
      </c>
      <c r="L25" s="9" t="s">
        <v>356</v>
      </c>
    </row>
    <row r="26" spans="2:12" x14ac:dyDescent="0.2">
      <c r="B26" s="9" t="s">
        <v>65</v>
      </c>
      <c r="D26" s="9" t="s">
        <v>31</v>
      </c>
      <c r="K26" s="9" t="s">
        <v>182</v>
      </c>
      <c r="L26" s="9" t="s">
        <v>357</v>
      </c>
    </row>
    <row r="27" spans="2:12" x14ac:dyDescent="0.2">
      <c r="B27" s="9" t="s">
        <v>66</v>
      </c>
      <c r="D27" s="9" t="s">
        <v>52</v>
      </c>
      <c r="K27" s="9" t="s">
        <v>358</v>
      </c>
      <c r="L27" s="9" t="s">
        <v>359</v>
      </c>
    </row>
    <row r="28" spans="2:12" x14ac:dyDescent="0.2">
      <c r="B28" s="9" t="s">
        <v>67</v>
      </c>
      <c r="D28" s="9" t="s">
        <v>33</v>
      </c>
      <c r="K28" s="9" t="s">
        <v>360</v>
      </c>
      <c r="L28" s="9" t="s">
        <v>361</v>
      </c>
    </row>
    <row r="29" spans="2:12" x14ac:dyDescent="0.2">
      <c r="B29" s="9" t="s">
        <v>68</v>
      </c>
      <c r="D29" s="9" t="s">
        <v>34</v>
      </c>
      <c r="K29" s="9" t="s">
        <v>362</v>
      </c>
      <c r="L29" s="9" t="s">
        <v>363</v>
      </c>
    </row>
    <row r="30" spans="2:12" x14ac:dyDescent="0.2">
      <c r="K30" s="9" t="s">
        <v>123</v>
      </c>
      <c r="L30" s="9" t="s">
        <v>364</v>
      </c>
    </row>
    <row r="31" spans="2:12" x14ac:dyDescent="0.2">
      <c r="B31" s="9" t="s">
        <v>104</v>
      </c>
      <c r="D31" s="9" t="s">
        <v>365</v>
      </c>
      <c r="K31" s="9" t="s">
        <v>117</v>
      </c>
      <c r="L31" s="9" t="s">
        <v>366</v>
      </c>
    </row>
    <row r="32" spans="2:12" x14ac:dyDescent="0.2">
      <c r="B32" s="9" t="s">
        <v>105</v>
      </c>
      <c r="D32" s="9" t="s">
        <v>367</v>
      </c>
      <c r="K32" s="9" t="s">
        <v>119</v>
      </c>
      <c r="L32" s="9" t="s">
        <v>368</v>
      </c>
    </row>
    <row r="33" spans="2:12" x14ac:dyDescent="0.2">
      <c r="B33" s="9" t="s">
        <v>106</v>
      </c>
      <c r="D33" s="9" t="s">
        <v>369</v>
      </c>
      <c r="K33" s="9" t="s">
        <v>370</v>
      </c>
      <c r="L33" s="9" t="s">
        <v>371</v>
      </c>
    </row>
    <row r="34" spans="2:12" x14ac:dyDescent="0.2">
      <c r="B34" s="9" t="s">
        <v>107</v>
      </c>
      <c r="D34" s="9" t="s">
        <v>372</v>
      </c>
      <c r="K34" s="9" t="s">
        <v>373</v>
      </c>
      <c r="L34" s="9" t="s">
        <v>180</v>
      </c>
    </row>
    <row r="35" spans="2:12" x14ac:dyDescent="0.2">
      <c r="B35" s="9" t="s">
        <v>108</v>
      </c>
      <c r="D35" s="9" t="s">
        <v>374</v>
      </c>
      <c r="K35" s="9" t="s">
        <v>375</v>
      </c>
      <c r="L35" s="9" t="s">
        <v>376</v>
      </c>
    </row>
    <row r="36" spans="2:12" x14ac:dyDescent="0.2">
      <c r="D36" s="9" t="s">
        <v>377</v>
      </c>
      <c r="K36" s="9" t="s">
        <v>118</v>
      </c>
      <c r="L36" s="9" t="s">
        <v>378</v>
      </c>
    </row>
    <row r="37" spans="2:12" x14ac:dyDescent="0.2">
      <c r="D37" s="9" t="s">
        <v>379</v>
      </c>
      <c r="K37" s="9" t="s">
        <v>380</v>
      </c>
      <c r="L37" s="9" t="s">
        <v>381</v>
      </c>
    </row>
    <row r="38" spans="2:12" x14ac:dyDescent="0.2">
      <c r="D38" s="9" t="s">
        <v>382</v>
      </c>
      <c r="K38" s="9" t="s">
        <v>114</v>
      </c>
      <c r="L38" s="9" t="s">
        <v>381</v>
      </c>
    </row>
    <row r="39" spans="2:12" x14ac:dyDescent="0.2">
      <c r="D39" s="9" t="s">
        <v>383</v>
      </c>
      <c r="K39" s="9" t="s">
        <v>122</v>
      </c>
      <c r="L39" s="9" t="s">
        <v>384</v>
      </c>
    </row>
    <row r="40" spans="2:12" x14ac:dyDescent="0.2">
      <c r="D40" s="9" t="s">
        <v>385</v>
      </c>
      <c r="K40" s="9" t="s">
        <v>386</v>
      </c>
      <c r="L40" s="9" t="s">
        <v>387</v>
      </c>
    </row>
    <row r="41" spans="2:12" x14ac:dyDescent="0.2">
      <c r="D41" s="9" t="s">
        <v>388</v>
      </c>
      <c r="K41" s="9" t="s">
        <v>389</v>
      </c>
      <c r="L41" s="9" t="s">
        <v>390</v>
      </c>
    </row>
    <row r="42" spans="2:12" x14ac:dyDescent="0.2">
      <c r="D42" s="9" t="s">
        <v>391</v>
      </c>
      <c r="K42" s="9" t="s">
        <v>120</v>
      </c>
      <c r="L42" s="9" t="s">
        <v>392</v>
      </c>
    </row>
    <row r="43" spans="2:12" x14ac:dyDescent="0.2">
      <c r="L43" s="9" t="s">
        <v>393</v>
      </c>
    </row>
    <row r="44" spans="2:12" x14ac:dyDescent="0.2">
      <c r="L44" s="9" t="s">
        <v>394</v>
      </c>
    </row>
    <row r="45" spans="2:12" x14ac:dyDescent="0.2">
      <c r="L45" s="9" t="s">
        <v>395</v>
      </c>
    </row>
    <row r="46" spans="2:12" x14ac:dyDescent="0.2">
      <c r="L46" s="9" t="s">
        <v>396</v>
      </c>
    </row>
    <row r="47" spans="2:12" x14ac:dyDescent="0.2">
      <c r="L47" s="9" t="s">
        <v>397</v>
      </c>
    </row>
    <row r="48" spans="2:12" x14ac:dyDescent="0.2">
      <c r="L48" s="9" t="s">
        <v>398</v>
      </c>
    </row>
    <row r="49" spans="12:12" x14ac:dyDescent="0.2">
      <c r="L49" s="9" t="s">
        <v>399</v>
      </c>
    </row>
    <row r="50" spans="12:12" x14ac:dyDescent="0.2">
      <c r="L50" s="9" t="s">
        <v>400</v>
      </c>
    </row>
    <row r="51" spans="12:12" x14ac:dyDescent="0.2">
      <c r="L51" s="9" t="s">
        <v>401</v>
      </c>
    </row>
    <row r="52" spans="12:12" x14ac:dyDescent="0.2">
      <c r="L52" s="9" t="s">
        <v>402</v>
      </c>
    </row>
    <row r="53" spans="12:12" x14ac:dyDescent="0.2">
      <c r="L53" s="9" t="s">
        <v>403</v>
      </c>
    </row>
    <row r="54" spans="12:12" x14ac:dyDescent="0.2">
      <c r="L54" s="9" t="s">
        <v>404</v>
      </c>
    </row>
    <row r="55" spans="12:12" x14ac:dyDescent="0.2">
      <c r="L55" s="9" t="s">
        <v>405</v>
      </c>
    </row>
    <row r="56" spans="12:12" x14ac:dyDescent="0.2">
      <c r="L56" s="9" t="s">
        <v>406</v>
      </c>
    </row>
    <row r="57" spans="12:12" x14ac:dyDescent="0.2">
      <c r="L57" s="9" t="s">
        <v>407</v>
      </c>
    </row>
    <row r="58" spans="12:12" x14ac:dyDescent="0.2">
      <c r="L58" s="9" t="s">
        <v>408</v>
      </c>
    </row>
    <row r="59" spans="12:12" x14ac:dyDescent="0.2">
      <c r="L59" s="9" t="s">
        <v>409</v>
      </c>
    </row>
    <row r="60" spans="12:12" x14ac:dyDescent="0.2">
      <c r="L60" s="9" t="s">
        <v>315</v>
      </c>
    </row>
    <row r="61" spans="12:12" x14ac:dyDescent="0.2">
      <c r="L61" s="9" t="s">
        <v>410</v>
      </c>
    </row>
    <row r="62" spans="12:12" x14ac:dyDescent="0.2">
      <c r="L62" s="9" t="s">
        <v>411</v>
      </c>
    </row>
    <row r="63" spans="12:12" x14ac:dyDescent="0.2">
      <c r="L63" s="9" t="s">
        <v>412</v>
      </c>
    </row>
    <row r="64" spans="12:12" x14ac:dyDescent="0.2">
      <c r="L64" s="9" t="s">
        <v>413</v>
      </c>
    </row>
    <row r="65" spans="12:12" x14ac:dyDescent="0.2">
      <c r="L65" s="9" t="s">
        <v>414</v>
      </c>
    </row>
    <row r="66" spans="12:12" x14ac:dyDescent="0.2">
      <c r="L66" s="9" t="s">
        <v>415</v>
      </c>
    </row>
    <row r="67" spans="12:12" x14ac:dyDescent="0.2">
      <c r="L67" s="9" t="s">
        <v>416</v>
      </c>
    </row>
    <row r="68" spans="12:12" x14ac:dyDescent="0.2">
      <c r="L68" s="9" t="s">
        <v>417</v>
      </c>
    </row>
    <row r="69" spans="12:12" x14ac:dyDescent="0.2">
      <c r="L69" s="9" t="s">
        <v>418</v>
      </c>
    </row>
    <row r="70" spans="12:12" x14ac:dyDescent="0.2">
      <c r="L70" s="9" t="s">
        <v>419</v>
      </c>
    </row>
    <row r="71" spans="12:12" x14ac:dyDescent="0.2">
      <c r="L71" s="9" t="s">
        <v>420</v>
      </c>
    </row>
    <row r="72" spans="12:12" x14ac:dyDescent="0.2">
      <c r="L72" s="9" t="s">
        <v>421</v>
      </c>
    </row>
    <row r="73" spans="12:12" x14ac:dyDescent="0.2">
      <c r="L73" s="9" t="s">
        <v>422</v>
      </c>
    </row>
    <row r="74" spans="12:12" x14ac:dyDescent="0.2">
      <c r="L74" s="9" t="s">
        <v>423</v>
      </c>
    </row>
    <row r="75" spans="12:12" x14ac:dyDescent="0.2">
      <c r="L75" s="9" t="s">
        <v>424</v>
      </c>
    </row>
    <row r="76" spans="12:12" x14ac:dyDescent="0.2">
      <c r="L76" s="9" t="s">
        <v>425</v>
      </c>
    </row>
    <row r="77" spans="12:12" x14ac:dyDescent="0.2">
      <c r="L77" s="9" t="s">
        <v>426</v>
      </c>
    </row>
    <row r="78" spans="12:12" x14ac:dyDescent="0.2">
      <c r="L78" s="9" t="s">
        <v>427</v>
      </c>
    </row>
    <row r="79" spans="12:12" x14ac:dyDescent="0.2">
      <c r="L79" s="9" t="s">
        <v>428</v>
      </c>
    </row>
    <row r="80" spans="12:12" x14ac:dyDescent="0.2">
      <c r="L80" s="9" t="s">
        <v>429</v>
      </c>
    </row>
    <row r="81" spans="12:12" x14ac:dyDescent="0.2">
      <c r="L81" s="9" t="s">
        <v>430</v>
      </c>
    </row>
    <row r="82" spans="12:12" x14ac:dyDescent="0.2">
      <c r="L82" s="9" t="s">
        <v>431</v>
      </c>
    </row>
    <row r="83" spans="12:12" x14ac:dyDescent="0.2">
      <c r="L83" s="9" t="s">
        <v>432</v>
      </c>
    </row>
    <row r="84" spans="12:12" x14ac:dyDescent="0.2">
      <c r="L84" s="9" t="s">
        <v>433</v>
      </c>
    </row>
    <row r="85" spans="12:12" x14ac:dyDescent="0.2">
      <c r="L85" s="9" t="s">
        <v>434</v>
      </c>
    </row>
    <row r="86" spans="12:12" x14ac:dyDescent="0.2">
      <c r="L86" s="9" t="s">
        <v>435</v>
      </c>
    </row>
    <row r="87" spans="12:12" x14ac:dyDescent="0.2">
      <c r="L87" s="9" t="s">
        <v>436</v>
      </c>
    </row>
    <row r="88" spans="12:12" x14ac:dyDescent="0.2">
      <c r="L88" s="9" t="s">
        <v>437</v>
      </c>
    </row>
    <row r="89" spans="12:12" x14ac:dyDescent="0.2">
      <c r="L89" s="9" t="s">
        <v>438</v>
      </c>
    </row>
    <row r="90" spans="12:12" x14ac:dyDescent="0.2">
      <c r="L90" s="9" t="s">
        <v>439</v>
      </c>
    </row>
    <row r="91" spans="12:12" x14ac:dyDescent="0.2">
      <c r="L91" s="9" t="s">
        <v>440</v>
      </c>
    </row>
    <row r="92" spans="12:12" x14ac:dyDescent="0.2">
      <c r="L92" s="9" t="s">
        <v>441</v>
      </c>
    </row>
    <row r="93" spans="12:12" x14ac:dyDescent="0.2">
      <c r="L93" s="9" t="s">
        <v>442</v>
      </c>
    </row>
    <row r="94" spans="12:12" x14ac:dyDescent="0.2">
      <c r="L94" s="9" t="s">
        <v>443</v>
      </c>
    </row>
    <row r="95" spans="12:12" x14ac:dyDescent="0.2">
      <c r="L95" s="9" t="s">
        <v>444</v>
      </c>
    </row>
    <row r="96" spans="12:12" x14ac:dyDescent="0.2">
      <c r="L96" s="9" t="s">
        <v>445</v>
      </c>
    </row>
    <row r="97" spans="12:12" x14ac:dyDescent="0.2">
      <c r="L97" s="9" t="s">
        <v>446</v>
      </c>
    </row>
    <row r="98" spans="12:12" x14ac:dyDescent="0.2">
      <c r="L98" s="9" t="s">
        <v>447</v>
      </c>
    </row>
    <row r="99" spans="12:12" x14ac:dyDescent="0.2">
      <c r="L99" s="9" t="s">
        <v>448</v>
      </c>
    </row>
    <row r="100" spans="12:12" x14ac:dyDescent="0.2">
      <c r="L100" s="9" t="s">
        <v>449</v>
      </c>
    </row>
    <row r="101" spans="12:12" x14ac:dyDescent="0.2">
      <c r="L101" s="9" t="s">
        <v>450</v>
      </c>
    </row>
    <row r="102" spans="12:12" x14ac:dyDescent="0.2">
      <c r="L102" s="9" t="s">
        <v>451</v>
      </c>
    </row>
    <row r="103" spans="12:12" x14ac:dyDescent="0.2">
      <c r="L103" s="9" t="s">
        <v>452</v>
      </c>
    </row>
    <row r="104" spans="12:12" x14ac:dyDescent="0.2">
      <c r="L104" s="9" t="s">
        <v>453</v>
      </c>
    </row>
    <row r="105" spans="12:12" x14ac:dyDescent="0.2">
      <c r="L105" s="9" t="s">
        <v>454</v>
      </c>
    </row>
    <row r="106" spans="12:12" x14ac:dyDescent="0.2">
      <c r="L106" s="9" t="s">
        <v>455</v>
      </c>
    </row>
    <row r="107" spans="12:12" x14ac:dyDescent="0.2">
      <c r="L107" s="9" t="s">
        <v>456</v>
      </c>
    </row>
    <row r="108" spans="12:12" x14ac:dyDescent="0.2">
      <c r="L108" s="9" t="s">
        <v>457</v>
      </c>
    </row>
    <row r="109" spans="12:12" x14ac:dyDescent="0.2">
      <c r="L109" s="9" t="s">
        <v>458</v>
      </c>
    </row>
    <row r="110" spans="12:12" x14ac:dyDescent="0.2">
      <c r="L110" s="9" t="s">
        <v>459</v>
      </c>
    </row>
    <row r="111" spans="12:12" x14ac:dyDescent="0.2">
      <c r="L111" s="9" t="s">
        <v>460</v>
      </c>
    </row>
    <row r="112" spans="12:12" x14ac:dyDescent="0.2">
      <c r="L112" s="9" t="s">
        <v>461</v>
      </c>
    </row>
    <row r="113" spans="12:12" x14ac:dyDescent="0.2">
      <c r="L113" s="9" t="s">
        <v>462</v>
      </c>
    </row>
    <row r="114" spans="12:12" x14ac:dyDescent="0.2">
      <c r="L114" s="9" t="s">
        <v>463</v>
      </c>
    </row>
    <row r="115" spans="12:12" x14ac:dyDescent="0.2">
      <c r="L115" s="9" t="s">
        <v>464</v>
      </c>
    </row>
    <row r="116" spans="12:12" x14ac:dyDescent="0.2">
      <c r="L116" s="9" t="s">
        <v>465</v>
      </c>
    </row>
    <row r="117" spans="12:12" x14ac:dyDescent="0.2">
      <c r="L117" s="9" t="s">
        <v>466</v>
      </c>
    </row>
    <row r="118" spans="12:12" x14ac:dyDescent="0.2">
      <c r="L118" s="9" t="s">
        <v>467</v>
      </c>
    </row>
    <row r="119" spans="12:12" x14ac:dyDescent="0.2">
      <c r="L119" s="9" t="s">
        <v>468</v>
      </c>
    </row>
    <row r="120" spans="12:12" x14ac:dyDescent="0.2">
      <c r="L120" s="9" t="s">
        <v>469</v>
      </c>
    </row>
    <row r="121" spans="12:12" x14ac:dyDescent="0.2">
      <c r="L121" s="9" t="s">
        <v>470</v>
      </c>
    </row>
    <row r="122" spans="12:12" x14ac:dyDescent="0.2">
      <c r="L122" s="9" t="s">
        <v>471</v>
      </c>
    </row>
    <row r="123" spans="12:12" x14ac:dyDescent="0.2">
      <c r="L123" s="9" t="s">
        <v>472</v>
      </c>
    </row>
    <row r="124" spans="12:12" x14ac:dyDescent="0.2">
      <c r="L124" s="9" t="s">
        <v>473</v>
      </c>
    </row>
    <row r="125" spans="12:12" x14ac:dyDescent="0.2">
      <c r="L125" s="9" t="s">
        <v>474</v>
      </c>
    </row>
    <row r="126" spans="12:12" x14ac:dyDescent="0.2">
      <c r="L126" s="9" t="s">
        <v>475</v>
      </c>
    </row>
    <row r="127" spans="12:12" x14ac:dyDescent="0.2">
      <c r="L127" s="9" t="s">
        <v>476</v>
      </c>
    </row>
    <row r="128" spans="12:12" x14ac:dyDescent="0.2">
      <c r="L128" s="9" t="s">
        <v>477</v>
      </c>
    </row>
    <row r="129" spans="12:12" x14ac:dyDescent="0.2">
      <c r="L129" s="9" t="s">
        <v>478</v>
      </c>
    </row>
    <row r="130" spans="12:12" x14ac:dyDescent="0.2">
      <c r="L130" s="9" t="s">
        <v>479</v>
      </c>
    </row>
    <row r="131" spans="12:12" x14ac:dyDescent="0.2">
      <c r="L131" s="9" t="s">
        <v>480</v>
      </c>
    </row>
    <row r="132" spans="12:12" x14ac:dyDescent="0.2">
      <c r="L132" s="9" t="s">
        <v>481</v>
      </c>
    </row>
    <row r="133" spans="12:12" x14ac:dyDescent="0.2">
      <c r="L133" s="9" t="s">
        <v>482</v>
      </c>
    </row>
    <row r="134" spans="12:12" x14ac:dyDescent="0.2">
      <c r="L134" s="9" t="s">
        <v>483</v>
      </c>
    </row>
    <row r="135" spans="12:12" x14ac:dyDescent="0.2">
      <c r="L135" s="9" t="s">
        <v>484</v>
      </c>
    </row>
    <row r="136" spans="12:12" x14ac:dyDescent="0.2">
      <c r="L136" s="9" t="s">
        <v>485</v>
      </c>
    </row>
    <row r="137" spans="12:12" x14ac:dyDescent="0.2">
      <c r="L137" s="9" t="s">
        <v>486</v>
      </c>
    </row>
    <row r="138" spans="12:12" x14ac:dyDescent="0.2">
      <c r="L138" s="9" t="s">
        <v>487</v>
      </c>
    </row>
    <row r="139" spans="12:12" x14ac:dyDescent="0.2">
      <c r="L139" s="9" t="s">
        <v>488</v>
      </c>
    </row>
    <row r="140" spans="12:12" x14ac:dyDescent="0.2">
      <c r="L140" s="9" t="s">
        <v>489</v>
      </c>
    </row>
    <row r="141" spans="12:12" x14ac:dyDescent="0.2">
      <c r="L141" s="9" t="s">
        <v>490</v>
      </c>
    </row>
    <row r="142" spans="12:12" x14ac:dyDescent="0.2">
      <c r="L142" s="9" t="s">
        <v>490</v>
      </c>
    </row>
    <row r="143" spans="12:12" x14ac:dyDescent="0.2">
      <c r="L143" s="9" t="s">
        <v>491</v>
      </c>
    </row>
    <row r="144" spans="12:12" x14ac:dyDescent="0.2">
      <c r="L144" s="9" t="s">
        <v>492</v>
      </c>
    </row>
    <row r="145" spans="12:12" x14ac:dyDescent="0.2">
      <c r="L145" s="9" t="s">
        <v>493</v>
      </c>
    </row>
    <row r="146" spans="12:12" x14ac:dyDescent="0.2">
      <c r="L146" s="9" t="s">
        <v>494</v>
      </c>
    </row>
    <row r="147" spans="12:12" x14ac:dyDescent="0.2">
      <c r="L147" s="9" t="s">
        <v>495</v>
      </c>
    </row>
    <row r="148" spans="12:12" x14ac:dyDescent="0.2">
      <c r="L148" s="9" t="s">
        <v>496</v>
      </c>
    </row>
    <row r="149" spans="12:12" x14ac:dyDescent="0.2">
      <c r="L149" s="9" t="s">
        <v>497</v>
      </c>
    </row>
    <row r="150" spans="12:12" x14ac:dyDescent="0.2">
      <c r="L150" s="9" t="s">
        <v>498</v>
      </c>
    </row>
    <row r="151" spans="12:12" x14ac:dyDescent="0.2">
      <c r="L151" s="9" t="s">
        <v>499</v>
      </c>
    </row>
    <row r="152" spans="12:12" x14ac:dyDescent="0.2">
      <c r="L152" s="9" t="s">
        <v>500</v>
      </c>
    </row>
    <row r="153" spans="12:12" x14ac:dyDescent="0.2">
      <c r="L153" s="9" t="s">
        <v>501</v>
      </c>
    </row>
    <row r="154" spans="12:12" x14ac:dyDescent="0.2">
      <c r="L154" s="9" t="s">
        <v>502</v>
      </c>
    </row>
    <row r="155" spans="12:12" x14ac:dyDescent="0.2">
      <c r="L155" s="9" t="s">
        <v>503</v>
      </c>
    </row>
    <row r="156" spans="12:12" x14ac:dyDescent="0.2">
      <c r="L156" s="9" t="s">
        <v>504</v>
      </c>
    </row>
    <row r="157" spans="12:12" x14ac:dyDescent="0.2">
      <c r="L157" s="9" t="s">
        <v>505</v>
      </c>
    </row>
    <row r="158" spans="12:12" x14ac:dyDescent="0.2">
      <c r="L158" s="9" t="s">
        <v>506</v>
      </c>
    </row>
    <row r="159" spans="12:12" x14ac:dyDescent="0.2">
      <c r="L159" s="9" t="s">
        <v>507</v>
      </c>
    </row>
    <row r="160" spans="12:12" x14ac:dyDescent="0.2">
      <c r="L160" s="9" t="s">
        <v>508</v>
      </c>
    </row>
    <row r="161" spans="12:12" x14ac:dyDescent="0.2">
      <c r="L161" s="9" t="s">
        <v>509</v>
      </c>
    </row>
    <row r="162" spans="12:12" x14ac:dyDescent="0.2">
      <c r="L162" s="9" t="s">
        <v>510</v>
      </c>
    </row>
    <row r="163" spans="12:12" x14ac:dyDescent="0.2">
      <c r="L163" s="9" t="s">
        <v>511</v>
      </c>
    </row>
    <row r="164" spans="12:12" x14ac:dyDescent="0.2">
      <c r="L164" s="9" t="s">
        <v>512</v>
      </c>
    </row>
    <row r="165" spans="12:12" x14ac:dyDescent="0.2">
      <c r="L165" s="9" t="s">
        <v>513</v>
      </c>
    </row>
    <row r="166" spans="12:12" x14ac:dyDescent="0.2">
      <c r="L166" s="9" t="s">
        <v>514</v>
      </c>
    </row>
    <row r="167" spans="12:12" x14ac:dyDescent="0.2">
      <c r="L167" s="9" t="s">
        <v>515</v>
      </c>
    </row>
    <row r="168" spans="12:12" x14ac:dyDescent="0.2">
      <c r="L168" s="9" t="s">
        <v>516</v>
      </c>
    </row>
    <row r="169" spans="12:12" x14ac:dyDescent="0.2">
      <c r="L169" s="9" t="s">
        <v>517</v>
      </c>
    </row>
    <row r="170" spans="12:12" x14ac:dyDescent="0.2">
      <c r="L170" s="9" t="s">
        <v>518</v>
      </c>
    </row>
    <row r="171" spans="12:12" x14ac:dyDescent="0.2">
      <c r="L171" s="9" t="s">
        <v>519</v>
      </c>
    </row>
    <row r="172" spans="12:12" x14ac:dyDescent="0.2">
      <c r="L172" s="9" t="s">
        <v>519</v>
      </c>
    </row>
    <row r="173" spans="12:12" x14ac:dyDescent="0.2">
      <c r="L173" s="9" t="s">
        <v>520</v>
      </c>
    </row>
    <row r="174" spans="12:12" x14ac:dyDescent="0.2">
      <c r="L174" s="9" t="s">
        <v>521</v>
      </c>
    </row>
    <row r="175" spans="12:12" x14ac:dyDescent="0.2">
      <c r="L175" s="9" t="s">
        <v>522</v>
      </c>
    </row>
    <row r="176" spans="12:12" x14ac:dyDescent="0.2">
      <c r="L176" s="9" t="s">
        <v>523</v>
      </c>
    </row>
    <row r="177" spans="12:12" x14ac:dyDescent="0.2">
      <c r="L177" s="9" t="s">
        <v>524</v>
      </c>
    </row>
    <row r="178" spans="12:12" x14ac:dyDescent="0.2">
      <c r="L178" s="9" t="s">
        <v>525</v>
      </c>
    </row>
    <row r="179" spans="12:12" x14ac:dyDescent="0.2">
      <c r="L179" s="9" t="s">
        <v>526</v>
      </c>
    </row>
    <row r="180" spans="12:12" x14ac:dyDescent="0.2">
      <c r="L180" s="9" t="s">
        <v>527</v>
      </c>
    </row>
    <row r="181" spans="12:12" x14ac:dyDescent="0.2">
      <c r="L181" s="9" t="s">
        <v>528</v>
      </c>
    </row>
    <row r="182" spans="12:12" x14ac:dyDescent="0.2">
      <c r="L182" s="9" t="s">
        <v>529</v>
      </c>
    </row>
    <row r="183" spans="12:12" x14ac:dyDescent="0.2">
      <c r="L183" s="9" t="s">
        <v>530</v>
      </c>
    </row>
    <row r="184" spans="12:12" x14ac:dyDescent="0.2">
      <c r="L184" s="9" t="s">
        <v>531</v>
      </c>
    </row>
    <row r="185" spans="12:12" x14ac:dyDescent="0.2">
      <c r="L185" s="9" t="s">
        <v>532</v>
      </c>
    </row>
    <row r="186" spans="12:12" x14ac:dyDescent="0.2">
      <c r="L186" s="9" t="s">
        <v>533</v>
      </c>
    </row>
    <row r="187" spans="12:12" x14ac:dyDescent="0.2">
      <c r="L187" s="9" t="s">
        <v>534</v>
      </c>
    </row>
    <row r="188" spans="12:12" x14ac:dyDescent="0.2">
      <c r="L188" s="9" t="s">
        <v>535</v>
      </c>
    </row>
    <row r="189" spans="12:12" x14ac:dyDescent="0.2">
      <c r="L189" s="9" t="s">
        <v>536</v>
      </c>
    </row>
    <row r="190" spans="12:12" x14ac:dyDescent="0.2">
      <c r="L190" s="9" t="s">
        <v>537</v>
      </c>
    </row>
    <row r="191" spans="12:12" x14ac:dyDescent="0.2">
      <c r="L191" s="9" t="s">
        <v>538</v>
      </c>
    </row>
    <row r="192" spans="12:12" x14ac:dyDescent="0.2">
      <c r="L192" s="9" t="s">
        <v>539</v>
      </c>
    </row>
    <row r="193" spans="12:12" x14ac:dyDescent="0.2">
      <c r="L193" s="9" t="s">
        <v>540</v>
      </c>
    </row>
    <row r="194" spans="12:12" x14ac:dyDescent="0.2">
      <c r="L194" s="9" t="s">
        <v>541</v>
      </c>
    </row>
    <row r="195" spans="12:12" x14ac:dyDescent="0.2">
      <c r="L195" s="9" t="s">
        <v>542</v>
      </c>
    </row>
    <row r="196" spans="12:12" x14ac:dyDescent="0.2">
      <c r="L196" s="9" t="s">
        <v>543</v>
      </c>
    </row>
    <row r="197" spans="12:12" x14ac:dyDescent="0.2">
      <c r="L197" s="9" t="s">
        <v>544</v>
      </c>
    </row>
    <row r="198" spans="12:12" x14ac:dyDescent="0.2">
      <c r="L198" s="9" t="s">
        <v>545</v>
      </c>
    </row>
    <row r="199" spans="12:12" x14ac:dyDescent="0.2">
      <c r="L199" s="9" t="s">
        <v>546</v>
      </c>
    </row>
    <row r="200" spans="12:12" x14ac:dyDescent="0.2">
      <c r="L200" s="9" t="s">
        <v>547</v>
      </c>
    </row>
    <row r="201" spans="12:12" x14ac:dyDescent="0.2">
      <c r="L201" s="9" t="s">
        <v>548</v>
      </c>
    </row>
    <row r="202" spans="12:12" x14ac:dyDescent="0.2">
      <c r="L202" s="9" t="s">
        <v>549</v>
      </c>
    </row>
    <row r="203" spans="12:12" x14ac:dyDescent="0.2">
      <c r="L203" s="9" t="s">
        <v>550</v>
      </c>
    </row>
    <row r="204" spans="12:12" x14ac:dyDescent="0.2">
      <c r="L204" s="9" t="s">
        <v>551</v>
      </c>
    </row>
    <row r="205" spans="12:12" x14ac:dyDescent="0.2">
      <c r="L205" s="9" t="s">
        <v>552</v>
      </c>
    </row>
    <row r="206" spans="12:12" x14ac:dyDescent="0.2">
      <c r="L206" s="9" t="s">
        <v>553</v>
      </c>
    </row>
    <row r="207" spans="12:12" x14ac:dyDescent="0.2">
      <c r="L207" s="9" t="s">
        <v>554</v>
      </c>
    </row>
    <row r="208" spans="12:12" x14ac:dyDescent="0.2">
      <c r="L208" s="9" t="s">
        <v>555</v>
      </c>
    </row>
    <row r="209" spans="12:12" x14ac:dyDescent="0.2">
      <c r="L209" s="9" t="s">
        <v>556</v>
      </c>
    </row>
    <row r="210" spans="12:12" x14ac:dyDescent="0.2">
      <c r="L210" s="9" t="s">
        <v>557</v>
      </c>
    </row>
    <row r="211" spans="12:12" x14ac:dyDescent="0.2">
      <c r="L211" s="9" t="s">
        <v>558</v>
      </c>
    </row>
    <row r="212" spans="12:12" x14ac:dyDescent="0.2">
      <c r="L212" s="9" t="s">
        <v>559</v>
      </c>
    </row>
    <row r="213" spans="12:12" x14ac:dyDescent="0.2">
      <c r="L213" s="9" t="s">
        <v>560</v>
      </c>
    </row>
    <row r="214" spans="12:12" x14ac:dyDescent="0.2">
      <c r="L214" s="9" t="s">
        <v>561</v>
      </c>
    </row>
    <row r="215" spans="12:12" x14ac:dyDescent="0.2">
      <c r="L215" s="9" t="s">
        <v>562</v>
      </c>
    </row>
    <row r="216" spans="12:12" x14ac:dyDescent="0.2">
      <c r="L216" s="9" t="s">
        <v>563</v>
      </c>
    </row>
    <row r="217" spans="12:12" x14ac:dyDescent="0.2">
      <c r="L217" s="9" t="s">
        <v>564</v>
      </c>
    </row>
    <row r="218" spans="12:12" x14ac:dyDescent="0.2">
      <c r="L218" s="9" t="s">
        <v>565</v>
      </c>
    </row>
    <row r="219" spans="12:12" x14ac:dyDescent="0.2">
      <c r="L219" s="9" t="s">
        <v>566</v>
      </c>
    </row>
    <row r="220" spans="12:12" x14ac:dyDescent="0.2">
      <c r="L220" s="9" t="s">
        <v>567</v>
      </c>
    </row>
    <row r="221" spans="12:12" x14ac:dyDescent="0.2">
      <c r="L221" s="9" t="s">
        <v>568</v>
      </c>
    </row>
    <row r="222" spans="12:12" x14ac:dyDescent="0.2">
      <c r="L222" s="9" t="s">
        <v>569</v>
      </c>
    </row>
    <row r="223" spans="12:12" x14ac:dyDescent="0.2">
      <c r="L223" s="9" t="s">
        <v>570</v>
      </c>
    </row>
    <row r="224" spans="12:12" x14ac:dyDescent="0.2">
      <c r="L224" s="9" t="s">
        <v>571</v>
      </c>
    </row>
    <row r="225" spans="12:12" x14ac:dyDescent="0.2">
      <c r="L225" s="9" t="s">
        <v>571</v>
      </c>
    </row>
    <row r="226" spans="12:12" x14ac:dyDescent="0.2">
      <c r="L226" s="9" t="s">
        <v>572</v>
      </c>
    </row>
    <row r="227" spans="12:12" x14ac:dyDescent="0.2">
      <c r="L227" s="9" t="s">
        <v>573</v>
      </c>
    </row>
    <row r="228" spans="12:12" x14ac:dyDescent="0.2">
      <c r="L228" s="9" t="s">
        <v>574</v>
      </c>
    </row>
    <row r="229" spans="12:12" x14ac:dyDescent="0.2">
      <c r="L229" s="9" t="s">
        <v>575</v>
      </c>
    </row>
    <row r="230" spans="12:12" x14ac:dyDescent="0.2">
      <c r="L230" s="9" t="s">
        <v>576</v>
      </c>
    </row>
    <row r="231" spans="12:12" x14ac:dyDescent="0.2">
      <c r="L231" s="9" t="s">
        <v>577</v>
      </c>
    </row>
    <row r="232" spans="12:12" x14ac:dyDescent="0.2">
      <c r="L232" s="9" t="s">
        <v>578</v>
      </c>
    </row>
    <row r="233" spans="12:12" x14ac:dyDescent="0.2">
      <c r="L233" s="9" t="s">
        <v>579</v>
      </c>
    </row>
    <row r="234" spans="12:12" x14ac:dyDescent="0.2">
      <c r="L234" s="9" t="s">
        <v>580</v>
      </c>
    </row>
    <row r="235" spans="12:12" x14ac:dyDescent="0.2">
      <c r="L235" s="9" t="s">
        <v>581</v>
      </c>
    </row>
    <row r="236" spans="12:12" x14ac:dyDescent="0.2">
      <c r="L236" s="9" t="s">
        <v>582</v>
      </c>
    </row>
    <row r="237" spans="12:12" x14ac:dyDescent="0.2">
      <c r="L237" s="9" t="s">
        <v>331</v>
      </c>
    </row>
    <row r="238" spans="12:12" x14ac:dyDescent="0.2">
      <c r="L238" s="9" t="s">
        <v>583</v>
      </c>
    </row>
    <row r="239" spans="12:12" x14ac:dyDescent="0.2">
      <c r="L239" s="9" t="s">
        <v>584</v>
      </c>
    </row>
    <row r="240" spans="12:12" x14ac:dyDescent="0.2">
      <c r="L240" s="9" t="s">
        <v>585</v>
      </c>
    </row>
    <row r="241" spans="12:12" x14ac:dyDescent="0.2">
      <c r="L241" s="9" t="s">
        <v>586</v>
      </c>
    </row>
    <row r="242" spans="12:12" x14ac:dyDescent="0.2">
      <c r="L242" s="9" t="s">
        <v>587</v>
      </c>
    </row>
    <row r="243" spans="12:12" x14ac:dyDescent="0.2">
      <c r="L243" s="9" t="s">
        <v>588</v>
      </c>
    </row>
    <row r="244" spans="12:12" x14ac:dyDescent="0.2">
      <c r="L244" s="9" t="s">
        <v>589</v>
      </c>
    </row>
    <row r="245" spans="12:12" x14ac:dyDescent="0.2">
      <c r="L245" s="9" t="s">
        <v>590</v>
      </c>
    </row>
    <row r="246" spans="12:12" x14ac:dyDescent="0.2">
      <c r="L246" s="9" t="s">
        <v>591</v>
      </c>
    </row>
    <row r="247" spans="12:12" x14ac:dyDescent="0.2">
      <c r="L247" s="9" t="s">
        <v>592</v>
      </c>
    </row>
    <row r="248" spans="12:12" x14ac:dyDescent="0.2">
      <c r="L248" s="9" t="s">
        <v>593</v>
      </c>
    </row>
    <row r="249" spans="12:12" x14ac:dyDescent="0.2">
      <c r="L249" s="9" t="s">
        <v>594</v>
      </c>
    </row>
    <row r="250" spans="12:12" x14ac:dyDescent="0.2">
      <c r="L250" s="9" t="s">
        <v>595</v>
      </c>
    </row>
    <row r="251" spans="12:12" x14ac:dyDescent="0.2">
      <c r="L251" s="9" t="s">
        <v>596</v>
      </c>
    </row>
    <row r="252" spans="12:12" x14ac:dyDescent="0.2">
      <c r="L252" s="9" t="s">
        <v>597</v>
      </c>
    </row>
    <row r="253" spans="12:12" x14ac:dyDescent="0.2">
      <c r="L253" s="9" t="s">
        <v>598</v>
      </c>
    </row>
    <row r="254" spans="12:12" x14ac:dyDescent="0.2">
      <c r="L254" s="9" t="s">
        <v>599</v>
      </c>
    </row>
    <row r="255" spans="12:12" x14ac:dyDescent="0.2">
      <c r="L255" s="9" t="s">
        <v>600</v>
      </c>
    </row>
    <row r="256" spans="12:12" x14ac:dyDescent="0.2">
      <c r="L256" s="9" t="s">
        <v>601</v>
      </c>
    </row>
    <row r="257" spans="12:12" x14ac:dyDescent="0.2">
      <c r="L257" s="9" t="s">
        <v>602</v>
      </c>
    </row>
    <row r="258" spans="12:12" x14ac:dyDescent="0.2">
      <c r="L258" s="9" t="s">
        <v>603</v>
      </c>
    </row>
    <row r="259" spans="12:12" x14ac:dyDescent="0.2">
      <c r="L259" s="9" t="s">
        <v>604</v>
      </c>
    </row>
    <row r="260" spans="12:12" x14ac:dyDescent="0.2">
      <c r="L260" s="9" t="s">
        <v>605</v>
      </c>
    </row>
    <row r="261" spans="12:12" x14ac:dyDescent="0.2">
      <c r="L261" s="9" t="s">
        <v>606</v>
      </c>
    </row>
    <row r="262" spans="12:12" x14ac:dyDescent="0.2">
      <c r="L262" s="9" t="s">
        <v>607</v>
      </c>
    </row>
    <row r="263" spans="12:12" x14ac:dyDescent="0.2">
      <c r="L263" s="9" t="s">
        <v>608</v>
      </c>
    </row>
    <row r="264" spans="12:12" x14ac:dyDescent="0.2">
      <c r="L264" s="9" t="s">
        <v>609</v>
      </c>
    </row>
    <row r="265" spans="12:12" x14ac:dyDescent="0.2">
      <c r="L265" s="9" t="s">
        <v>610</v>
      </c>
    </row>
    <row r="266" spans="12:12" x14ac:dyDescent="0.2">
      <c r="L266" s="9" t="s">
        <v>611</v>
      </c>
    </row>
    <row r="267" spans="12:12" x14ac:dyDescent="0.2">
      <c r="L267" s="9" t="s">
        <v>612</v>
      </c>
    </row>
    <row r="268" spans="12:12" x14ac:dyDescent="0.2">
      <c r="L268" s="9" t="s">
        <v>613</v>
      </c>
    </row>
    <row r="269" spans="12:12" x14ac:dyDescent="0.2">
      <c r="L269" s="9" t="s">
        <v>614</v>
      </c>
    </row>
    <row r="270" spans="12:12" x14ac:dyDescent="0.2">
      <c r="L270" s="9" t="s">
        <v>615</v>
      </c>
    </row>
    <row r="271" spans="12:12" x14ac:dyDescent="0.2">
      <c r="L271" s="9" t="s">
        <v>616</v>
      </c>
    </row>
    <row r="272" spans="12:12" x14ac:dyDescent="0.2">
      <c r="L272" s="9" t="s">
        <v>617</v>
      </c>
    </row>
    <row r="273" spans="12:12" x14ac:dyDescent="0.2">
      <c r="L273" s="9" t="s">
        <v>618</v>
      </c>
    </row>
    <row r="274" spans="12:12" x14ac:dyDescent="0.2">
      <c r="L274" s="9" t="s">
        <v>619</v>
      </c>
    </row>
    <row r="275" spans="12:12" x14ac:dyDescent="0.2">
      <c r="L275" s="9" t="s">
        <v>338</v>
      </c>
    </row>
    <row r="276" spans="12:12" x14ac:dyDescent="0.2">
      <c r="L276" s="9" t="s">
        <v>620</v>
      </c>
    </row>
    <row r="277" spans="12:12" x14ac:dyDescent="0.2">
      <c r="L277" s="9" t="s">
        <v>621</v>
      </c>
    </row>
    <row r="278" spans="12:12" x14ac:dyDescent="0.2">
      <c r="L278" s="9" t="s">
        <v>622</v>
      </c>
    </row>
    <row r="279" spans="12:12" x14ac:dyDescent="0.2">
      <c r="L279" s="9" t="s">
        <v>623</v>
      </c>
    </row>
    <row r="280" spans="12:12" x14ac:dyDescent="0.2">
      <c r="L280" s="9" t="s">
        <v>624</v>
      </c>
    </row>
    <row r="281" spans="12:12" x14ac:dyDescent="0.2">
      <c r="L281" s="9" t="s">
        <v>625</v>
      </c>
    </row>
    <row r="282" spans="12:12" x14ac:dyDescent="0.2">
      <c r="L282" s="9" t="s">
        <v>625</v>
      </c>
    </row>
    <row r="283" spans="12:12" x14ac:dyDescent="0.2">
      <c r="L283" s="9" t="s">
        <v>626</v>
      </c>
    </row>
    <row r="284" spans="12:12" x14ac:dyDescent="0.2">
      <c r="L284" s="9" t="s">
        <v>627</v>
      </c>
    </row>
    <row r="285" spans="12:12" x14ac:dyDescent="0.2">
      <c r="L285" s="9" t="s">
        <v>628</v>
      </c>
    </row>
    <row r="286" spans="12:12" x14ac:dyDescent="0.2">
      <c r="L286" s="9" t="s">
        <v>629</v>
      </c>
    </row>
    <row r="287" spans="12:12" x14ac:dyDescent="0.2">
      <c r="L287" s="9" t="s">
        <v>630</v>
      </c>
    </row>
    <row r="288" spans="12:12" x14ac:dyDescent="0.2">
      <c r="L288" s="9" t="s">
        <v>631</v>
      </c>
    </row>
    <row r="289" spans="12:12" x14ac:dyDescent="0.2">
      <c r="L289" s="9" t="s">
        <v>632</v>
      </c>
    </row>
    <row r="290" spans="12:12" x14ac:dyDescent="0.2">
      <c r="L290" s="9" t="s">
        <v>633</v>
      </c>
    </row>
    <row r="291" spans="12:12" x14ac:dyDescent="0.2">
      <c r="L291" s="9" t="s">
        <v>634</v>
      </c>
    </row>
    <row r="292" spans="12:12" x14ac:dyDescent="0.2">
      <c r="L292" s="9" t="s">
        <v>635</v>
      </c>
    </row>
    <row r="293" spans="12:12" x14ac:dyDescent="0.2">
      <c r="L293" s="9" t="s">
        <v>636</v>
      </c>
    </row>
    <row r="294" spans="12:12" x14ac:dyDescent="0.2">
      <c r="L294" s="9" t="s">
        <v>637</v>
      </c>
    </row>
    <row r="295" spans="12:12" x14ac:dyDescent="0.2">
      <c r="L295" s="9" t="s">
        <v>638</v>
      </c>
    </row>
    <row r="296" spans="12:12" x14ac:dyDescent="0.2">
      <c r="L296" s="9" t="s">
        <v>638</v>
      </c>
    </row>
    <row r="297" spans="12:12" x14ac:dyDescent="0.2">
      <c r="L297" s="9" t="s">
        <v>639</v>
      </c>
    </row>
    <row r="298" spans="12:12" x14ac:dyDescent="0.2">
      <c r="L298" s="9" t="s">
        <v>640</v>
      </c>
    </row>
    <row r="299" spans="12:12" x14ac:dyDescent="0.2">
      <c r="L299" s="9" t="s">
        <v>641</v>
      </c>
    </row>
    <row r="300" spans="12:12" x14ac:dyDescent="0.2">
      <c r="L300" s="9" t="s">
        <v>642</v>
      </c>
    </row>
    <row r="301" spans="12:12" x14ac:dyDescent="0.2">
      <c r="L301" s="9" t="s">
        <v>642</v>
      </c>
    </row>
    <row r="302" spans="12:12" x14ac:dyDescent="0.2">
      <c r="L302" s="9" t="s">
        <v>642</v>
      </c>
    </row>
    <row r="303" spans="12:12" x14ac:dyDescent="0.2">
      <c r="L303" s="9" t="s">
        <v>643</v>
      </c>
    </row>
    <row r="304" spans="12:12" x14ac:dyDescent="0.2">
      <c r="L304" s="9" t="s">
        <v>644</v>
      </c>
    </row>
    <row r="305" spans="12:12" x14ac:dyDescent="0.2">
      <c r="L305" s="9" t="s">
        <v>645</v>
      </c>
    </row>
    <row r="306" spans="12:12" x14ac:dyDescent="0.2">
      <c r="L306" s="9" t="s">
        <v>646</v>
      </c>
    </row>
    <row r="307" spans="12:12" x14ac:dyDescent="0.2">
      <c r="L307" s="9" t="s">
        <v>647</v>
      </c>
    </row>
    <row r="308" spans="12:12" x14ac:dyDescent="0.2">
      <c r="L308" s="9" t="s">
        <v>648</v>
      </c>
    </row>
    <row r="309" spans="12:12" x14ac:dyDescent="0.2">
      <c r="L309" s="9" t="s">
        <v>649</v>
      </c>
    </row>
    <row r="310" spans="12:12" x14ac:dyDescent="0.2">
      <c r="L310" s="9" t="s">
        <v>650</v>
      </c>
    </row>
    <row r="311" spans="12:12" x14ac:dyDescent="0.2">
      <c r="L311" s="9" t="s">
        <v>651</v>
      </c>
    </row>
    <row r="312" spans="12:12" x14ac:dyDescent="0.2">
      <c r="L312" s="9" t="s">
        <v>652</v>
      </c>
    </row>
    <row r="313" spans="12:12" x14ac:dyDescent="0.2">
      <c r="L313" s="9" t="s">
        <v>653</v>
      </c>
    </row>
    <row r="314" spans="12:12" x14ac:dyDescent="0.2">
      <c r="L314" s="9" t="s">
        <v>654</v>
      </c>
    </row>
    <row r="315" spans="12:12" x14ac:dyDescent="0.2">
      <c r="L315" s="9" t="s">
        <v>655</v>
      </c>
    </row>
    <row r="316" spans="12:12" x14ac:dyDescent="0.2">
      <c r="L316" s="9" t="s">
        <v>656</v>
      </c>
    </row>
    <row r="317" spans="12:12" x14ac:dyDescent="0.2">
      <c r="L317" s="9" t="s">
        <v>657</v>
      </c>
    </row>
    <row r="318" spans="12:12" x14ac:dyDescent="0.2">
      <c r="L318" s="9" t="s">
        <v>658</v>
      </c>
    </row>
    <row r="319" spans="12:12" x14ac:dyDescent="0.2">
      <c r="L319" s="9" t="s">
        <v>659</v>
      </c>
    </row>
    <row r="320" spans="12:12" x14ac:dyDescent="0.2">
      <c r="L320" s="9" t="s">
        <v>660</v>
      </c>
    </row>
    <row r="321" spans="12:12" x14ac:dyDescent="0.2">
      <c r="L321" s="9" t="s">
        <v>660</v>
      </c>
    </row>
    <row r="322" spans="12:12" x14ac:dyDescent="0.2">
      <c r="L322" s="9" t="s">
        <v>661</v>
      </c>
    </row>
    <row r="323" spans="12:12" x14ac:dyDescent="0.2">
      <c r="L323" s="9" t="s">
        <v>662</v>
      </c>
    </row>
    <row r="324" spans="12:12" x14ac:dyDescent="0.2">
      <c r="L324" s="9" t="s">
        <v>663</v>
      </c>
    </row>
    <row r="325" spans="12:12" x14ac:dyDescent="0.2">
      <c r="L325" s="9" t="s">
        <v>663</v>
      </c>
    </row>
    <row r="326" spans="12:12" x14ac:dyDescent="0.2">
      <c r="L326" s="9" t="s">
        <v>664</v>
      </c>
    </row>
    <row r="327" spans="12:12" x14ac:dyDescent="0.2">
      <c r="L327" s="9" t="s">
        <v>128</v>
      </c>
    </row>
    <row r="328" spans="12:12" x14ac:dyDescent="0.2">
      <c r="L328" s="9" t="s">
        <v>665</v>
      </c>
    </row>
    <row r="329" spans="12:12" x14ac:dyDescent="0.2">
      <c r="L329" s="9" t="s">
        <v>666</v>
      </c>
    </row>
    <row r="330" spans="12:12" x14ac:dyDescent="0.2">
      <c r="L330" s="9" t="s">
        <v>667</v>
      </c>
    </row>
    <row r="331" spans="12:12" x14ac:dyDescent="0.2">
      <c r="L331" s="9" t="s">
        <v>668</v>
      </c>
    </row>
    <row r="332" spans="12:12" x14ac:dyDescent="0.2">
      <c r="L332" s="9" t="s">
        <v>669</v>
      </c>
    </row>
    <row r="333" spans="12:12" x14ac:dyDescent="0.2">
      <c r="L333" s="9" t="s">
        <v>670</v>
      </c>
    </row>
    <row r="334" spans="12:12" x14ac:dyDescent="0.2">
      <c r="L334" s="9" t="s">
        <v>671</v>
      </c>
    </row>
    <row r="335" spans="12:12" x14ac:dyDescent="0.2">
      <c r="L335" s="9" t="s">
        <v>671</v>
      </c>
    </row>
    <row r="336" spans="12:12" x14ac:dyDescent="0.2">
      <c r="L336" s="9" t="s">
        <v>671</v>
      </c>
    </row>
    <row r="337" spans="12:12" x14ac:dyDescent="0.2">
      <c r="L337" s="9" t="s">
        <v>671</v>
      </c>
    </row>
    <row r="338" spans="12:12" x14ac:dyDescent="0.2">
      <c r="L338" s="9" t="s">
        <v>672</v>
      </c>
    </row>
    <row r="339" spans="12:12" x14ac:dyDescent="0.2">
      <c r="L339" s="9" t="s">
        <v>673</v>
      </c>
    </row>
    <row r="340" spans="12:12" x14ac:dyDescent="0.2">
      <c r="L340" s="9" t="s">
        <v>674</v>
      </c>
    </row>
    <row r="341" spans="12:12" x14ac:dyDescent="0.2">
      <c r="L341" s="9" t="s">
        <v>675</v>
      </c>
    </row>
    <row r="342" spans="12:12" x14ac:dyDescent="0.2">
      <c r="L342" s="9" t="s">
        <v>676</v>
      </c>
    </row>
    <row r="343" spans="12:12" x14ac:dyDescent="0.2">
      <c r="L343" s="9" t="s">
        <v>676</v>
      </c>
    </row>
    <row r="344" spans="12:12" x14ac:dyDescent="0.2">
      <c r="L344" s="9" t="s">
        <v>677</v>
      </c>
    </row>
    <row r="345" spans="12:12" x14ac:dyDescent="0.2">
      <c r="L345" s="9" t="s">
        <v>347</v>
      </c>
    </row>
    <row r="346" spans="12:12" x14ac:dyDescent="0.2">
      <c r="L346" s="9" t="s">
        <v>678</v>
      </c>
    </row>
    <row r="347" spans="12:12" x14ac:dyDescent="0.2">
      <c r="L347" s="9" t="s">
        <v>679</v>
      </c>
    </row>
    <row r="348" spans="12:12" x14ac:dyDescent="0.2">
      <c r="L348" s="9" t="s">
        <v>680</v>
      </c>
    </row>
    <row r="349" spans="12:12" x14ac:dyDescent="0.2">
      <c r="L349" s="9" t="s">
        <v>681</v>
      </c>
    </row>
    <row r="350" spans="12:12" x14ac:dyDescent="0.2">
      <c r="L350" s="9" t="s">
        <v>682</v>
      </c>
    </row>
    <row r="351" spans="12:12" x14ac:dyDescent="0.2">
      <c r="L351" s="9" t="s">
        <v>683</v>
      </c>
    </row>
    <row r="352" spans="12:12" x14ac:dyDescent="0.2">
      <c r="L352" s="9" t="s">
        <v>684</v>
      </c>
    </row>
    <row r="353" spans="12:12" x14ac:dyDescent="0.2">
      <c r="L353" s="9" t="s">
        <v>685</v>
      </c>
    </row>
    <row r="354" spans="12:12" x14ac:dyDescent="0.2">
      <c r="L354" s="9" t="s">
        <v>686</v>
      </c>
    </row>
    <row r="355" spans="12:12" x14ac:dyDescent="0.2">
      <c r="L355" s="9" t="s">
        <v>687</v>
      </c>
    </row>
    <row r="356" spans="12:12" x14ac:dyDescent="0.2">
      <c r="L356" s="9" t="s">
        <v>688</v>
      </c>
    </row>
    <row r="357" spans="12:12" x14ac:dyDescent="0.2">
      <c r="L357" s="9" t="s">
        <v>689</v>
      </c>
    </row>
    <row r="358" spans="12:12" x14ac:dyDescent="0.2">
      <c r="L358" s="9" t="s">
        <v>690</v>
      </c>
    </row>
    <row r="359" spans="12:12" x14ac:dyDescent="0.2">
      <c r="L359" s="9" t="s">
        <v>691</v>
      </c>
    </row>
    <row r="360" spans="12:12" x14ac:dyDescent="0.2">
      <c r="L360" s="9" t="s">
        <v>692</v>
      </c>
    </row>
    <row r="361" spans="12:12" x14ac:dyDescent="0.2">
      <c r="L361" s="9" t="s">
        <v>693</v>
      </c>
    </row>
    <row r="362" spans="12:12" x14ac:dyDescent="0.2">
      <c r="L362" s="9" t="s">
        <v>694</v>
      </c>
    </row>
    <row r="363" spans="12:12" x14ac:dyDescent="0.2">
      <c r="L363" s="9" t="s">
        <v>695</v>
      </c>
    </row>
    <row r="364" spans="12:12" x14ac:dyDescent="0.2">
      <c r="L364" s="9" t="s">
        <v>696</v>
      </c>
    </row>
    <row r="365" spans="12:12" x14ac:dyDescent="0.2">
      <c r="L365" s="9" t="s">
        <v>697</v>
      </c>
    </row>
    <row r="366" spans="12:12" x14ac:dyDescent="0.2">
      <c r="L366" s="9" t="s">
        <v>698</v>
      </c>
    </row>
    <row r="367" spans="12:12" x14ac:dyDescent="0.2">
      <c r="L367" s="9" t="s">
        <v>699</v>
      </c>
    </row>
    <row r="368" spans="12:12" x14ac:dyDescent="0.2">
      <c r="L368" s="9" t="s">
        <v>700</v>
      </c>
    </row>
    <row r="369" spans="12:12" x14ac:dyDescent="0.2">
      <c r="L369" s="9" t="s">
        <v>701</v>
      </c>
    </row>
    <row r="370" spans="12:12" x14ac:dyDescent="0.2">
      <c r="L370" s="9" t="s">
        <v>702</v>
      </c>
    </row>
    <row r="371" spans="12:12" x14ac:dyDescent="0.2">
      <c r="L371" s="9" t="s">
        <v>703</v>
      </c>
    </row>
    <row r="372" spans="12:12" x14ac:dyDescent="0.2">
      <c r="L372" s="9" t="s">
        <v>704</v>
      </c>
    </row>
    <row r="373" spans="12:12" x14ac:dyDescent="0.2">
      <c r="L373" s="9" t="s">
        <v>705</v>
      </c>
    </row>
    <row r="374" spans="12:12" x14ac:dyDescent="0.2">
      <c r="L374" s="9" t="s">
        <v>116</v>
      </c>
    </row>
    <row r="375" spans="12:12" x14ac:dyDescent="0.2">
      <c r="L375" s="9" t="s">
        <v>706</v>
      </c>
    </row>
    <row r="376" spans="12:12" x14ac:dyDescent="0.2">
      <c r="L376" s="9" t="s">
        <v>707</v>
      </c>
    </row>
    <row r="377" spans="12:12" x14ac:dyDescent="0.2">
      <c r="L377" s="9" t="s">
        <v>708</v>
      </c>
    </row>
    <row r="378" spans="12:12" x14ac:dyDescent="0.2">
      <c r="L378" s="9" t="s">
        <v>709</v>
      </c>
    </row>
    <row r="379" spans="12:12" x14ac:dyDescent="0.2">
      <c r="L379" s="9" t="s">
        <v>710</v>
      </c>
    </row>
    <row r="380" spans="12:12" x14ac:dyDescent="0.2">
      <c r="L380" s="9" t="s">
        <v>711</v>
      </c>
    </row>
    <row r="381" spans="12:12" x14ac:dyDescent="0.2">
      <c r="L381" s="9" t="s">
        <v>712</v>
      </c>
    </row>
    <row r="382" spans="12:12" x14ac:dyDescent="0.2">
      <c r="L382" s="9" t="s">
        <v>713</v>
      </c>
    </row>
    <row r="383" spans="12:12" x14ac:dyDescent="0.2">
      <c r="L383" s="9" t="s">
        <v>714</v>
      </c>
    </row>
    <row r="384" spans="12:12" x14ac:dyDescent="0.2">
      <c r="L384" s="9" t="s">
        <v>715</v>
      </c>
    </row>
    <row r="385" spans="12:12" x14ac:dyDescent="0.2">
      <c r="L385" s="9" t="s">
        <v>716</v>
      </c>
    </row>
    <row r="386" spans="12:12" x14ac:dyDescent="0.2">
      <c r="L386" s="9" t="s">
        <v>717</v>
      </c>
    </row>
    <row r="387" spans="12:12" x14ac:dyDescent="0.2">
      <c r="L387" s="9" t="s">
        <v>718</v>
      </c>
    </row>
    <row r="388" spans="12:12" x14ac:dyDescent="0.2">
      <c r="L388" s="9" t="s">
        <v>719</v>
      </c>
    </row>
    <row r="389" spans="12:12" x14ac:dyDescent="0.2">
      <c r="L389" s="9" t="s">
        <v>720</v>
      </c>
    </row>
    <row r="390" spans="12:12" x14ac:dyDescent="0.2">
      <c r="L390" s="9" t="s">
        <v>721</v>
      </c>
    </row>
    <row r="391" spans="12:12" x14ac:dyDescent="0.2">
      <c r="L391" s="9" t="s">
        <v>722</v>
      </c>
    </row>
    <row r="392" spans="12:12" x14ac:dyDescent="0.2">
      <c r="L392" s="9" t="s">
        <v>723</v>
      </c>
    </row>
    <row r="393" spans="12:12" x14ac:dyDescent="0.2">
      <c r="L393" s="9" t="s">
        <v>724</v>
      </c>
    </row>
    <row r="394" spans="12:12" x14ac:dyDescent="0.2">
      <c r="L394" s="9" t="s">
        <v>725</v>
      </c>
    </row>
    <row r="395" spans="12:12" x14ac:dyDescent="0.2">
      <c r="L395" s="9" t="s">
        <v>726</v>
      </c>
    </row>
    <row r="396" spans="12:12" x14ac:dyDescent="0.2">
      <c r="L396" s="9" t="s">
        <v>727</v>
      </c>
    </row>
    <row r="397" spans="12:12" x14ac:dyDescent="0.2">
      <c r="L397" s="9" t="s">
        <v>728</v>
      </c>
    </row>
    <row r="398" spans="12:12" x14ac:dyDescent="0.2">
      <c r="L398" s="9" t="s">
        <v>729</v>
      </c>
    </row>
    <row r="399" spans="12:12" x14ac:dyDescent="0.2">
      <c r="L399" s="9" t="s">
        <v>730</v>
      </c>
    </row>
    <row r="400" spans="12:12" x14ac:dyDescent="0.2">
      <c r="L400" s="9" t="s">
        <v>731</v>
      </c>
    </row>
    <row r="401" spans="12:12" x14ac:dyDescent="0.2">
      <c r="L401" s="9" t="s">
        <v>732</v>
      </c>
    </row>
    <row r="402" spans="12:12" x14ac:dyDescent="0.2">
      <c r="L402" s="9" t="s">
        <v>733</v>
      </c>
    </row>
    <row r="403" spans="12:12" x14ac:dyDescent="0.2">
      <c r="L403" s="9" t="s">
        <v>734</v>
      </c>
    </row>
    <row r="404" spans="12:12" x14ac:dyDescent="0.2">
      <c r="L404" s="9" t="s">
        <v>735</v>
      </c>
    </row>
    <row r="405" spans="12:12" x14ac:dyDescent="0.2">
      <c r="L405" s="9" t="s">
        <v>736</v>
      </c>
    </row>
    <row r="406" spans="12:12" x14ac:dyDescent="0.2">
      <c r="L406" s="9" t="s">
        <v>737</v>
      </c>
    </row>
    <row r="407" spans="12:12" x14ac:dyDescent="0.2">
      <c r="L407" s="9" t="s">
        <v>738</v>
      </c>
    </row>
    <row r="408" spans="12:12" x14ac:dyDescent="0.2">
      <c r="L408" s="9" t="s">
        <v>739</v>
      </c>
    </row>
    <row r="409" spans="12:12" x14ac:dyDescent="0.2">
      <c r="L409" s="9" t="s">
        <v>740</v>
      </c>
    </row>
    <row r="410" spans="12:12" x14ac:dyDescent="0.2">
      <c r="L410" s="9" t="s">
        <v>741</v>
      </c>
    </row>
    <row r="411" spans="12:12" x14ac:dyDescent="0.2">
      <c r="L411" s="9" t="s">
        <v>742</v>
      </c>
    </row>
    <row r="412" spans="12:12" x14ac:dyDescent="0.2">
      <c r="L412" s="9" t="s">
        <v>743</v>
      </c>
    </row>
    <row r="413" spans="12:12" x14ac:dyDescent="0.2">
      <c r="L413" s="9" t="s">
        <v>744</v>
      </c>
    </row>
    <row r="414" spans="12:12" x14ac:dyDescent="0.2">
      <c r="L414" s="9" t="s">
        <v>745</v>
      </c>
    </row>
    <row r="415" spans="12:12" x14ac:dyDescent="0.2">
      <c r="L415" s="9" t="s">
        <v>746</v>
      </c>
    </row>
    <row r="416" spans="12:12" x14ac:dyDescent="0.2">
      <c r="L416" s="9" t="s">
        <v>747</v>
      </c>
    </row>
    <row r="417" spans="12:12" x14ac:dyDescent="0.2">
      <c r="L417" s="9" t="s">
        <v>748</v>
      </c>
    </row>
    <row r="418" spans="12:12" x14ac:dyDescent="0.2">
      <c r="L418" s="9" t="s">
        <v>749</v>
      </c>
    </row>
    <row r="419" spans="12:12" x14ac:dyDescent="0.2">
      <c r="L419" s="9" t="s">
        <v>750</v>
      </c>
    </row>
    <row r="420" spans="12:12" x14ac:dyDescent="0.2">
      <c r="L420" s="9" t="s">
        <v>751</v>
      </c>
    </row>
    <row r="421" spans="12:12" x14ac:dyDescent="0.2">
      <c r="L421" s="9" t="s">
        <v>752</v>
      </c>
    </row>
    <row r="422" spans="12:12" x14ac:dyDescent="0.2">
      <c r="L422" s="9" t="s">
        <v>753</v>
      </c>
    </row>
    <row r="423" spans="12:12" x14ac:dyDescent="0.2">
      <c r="L423" s="9" t="s">
        <v>754</v>
      </c>
    </row>
    <row r="424" spans="12:12" x14ac:dyDescent="0.2">
      <c r="L424" s="9" t="s">
        <v>755</v>
      </c>
    </row>
    <row r="425" spans="12:12" x14ac:dyDescent="0.2">
      <c r="L425" s="9" t="s">
        <v>756</v>
      </c>
    </row>
    <row r="426" spans="12:12" x14ac:dyDescent="0.2">
      <c r="L426" s="9" t="s">
        <v>757</v>
      </c>
    </row>
    <row r="427" spans="12:12" x14ac:dyDescent="0.2">
      <c r="L427" s="9" t="s">
        <v>758</v>
      </c>
    </row>
    <row r="428" spans="12:12" x14ac:dyDescent="0.2">
      <c r="L428" s="9" t="s">
        <v>759</v>
      </c>
    </row>
    <row r="429" spans="12:12" x14ac:dyDescent="0.2">
      <c r="L429" s="9" t="s">
        <v>760</v>
      </c>
    </row>
    <row r="430" spans="12:12" x14ac:dyDescent="0.2">
      <c r="L430" s="9" t="s">
        <v>761</v>
      </c>
    </row>
    <row r="431" spans="12:12" x14ac:dyDescent="0.2">
      <c r="L431" s="9" t="s">
        <v>762</v>
      </c>
    </row>
    <row r="432" spans="12:12" x14ac:dyDescent="0.2">
      <c r="L432" s="9" t="s">
        <v>763</v>
      </c>
    </row>
    <row r="433" spans="12:12" x14ac:dyDescent="0.2">
      <c r="L433" s="9" t="s">
        <v>764</v>
      </c>
    </row>
    <row r="434" spans="12:12" x14ac:dyDescent="0.2">
      <c r="L434" s="9" t="s">
        <v>380</v>
      </c>
    </row>
    <row r="435" spans="12:12" x14ac:dyDescent="0.2">
      <c r="L435" s="9" t="s">
        <v>765</v>
      </c>
    </row>
    <row r="436" spans="12:12" x14ac:dyDescent="0.2">
      <c r="L436" s="9" t="s">
        <v>766</v>
      </c>
    </row>
    <row r="437" spans="12:12" x14ac:dyDescent="0.2">
      <c r="L437" s="9" t="s">
        <v>767</v>
      </c>
    </row>
    <row r="438" spans="12:12" x14ac:dyDescent="0.2">
      <c r="L438" s="9" t="s">
        <v>768</v>
      </c>
    </row>
    <row r="439" spans="12:12" x14ac:dyDescent="0.2">
      <c r="L439" s="9" t="s">
        <v>769</v>
      </c>
    </row>
    <row r="440" spans="12:12" x14ac:dyDescent="0.2">
      <c r="L440" s="9" t="s">
        <v>770</v>
      </c>
    </row>
    <row r="441" spans="12:12" x14ac:dyDescent="0.2">
      <c r="L441" s="9" t="s">
        <v>771</v>
      </c>
    </row>
    <row r="442" spans="12:12" x14ac:dyDescent="0.2">
      <c r="L442" s="9" t="s">
        <v>772</v>
      </c>
    </row>
    <row r="443" spans="12:12" x14ac:dyDescent="0.2">
      <c r="L443" s="9" t="s">
        <v>773</v>
      </c>
    </row>
    <row r="444" spans="12:12" x14ac:dyDescent="0.2">
      <c r="L444" s="9" t="s">
        <v>774</v>
      </c>
    </row>
    <row r="445" spans="12:12" x14ac:dyDescent="0.2">
      <c r="L445" s="9" t="s">
        <v>775</v>
      </c>
    </row>
    <row r="446" spans="12:12" x14ac:dyDescent="0.2">
      <c r="L446" s="9" t="s">
        <v>776</v>
      </c>
    </row>
    <row r="447" spans="12:12" x14ac:dyDescent="0.2">
      <c r="L447" s="9" t="s">
        <v>777</v>
      </c>
    </row>
    <row r="448" spans="12:12" x14ac:dyDescent="0.2">
      <c r="L448" s="9" t="s">
        <v>778</v>
      </c>
    </row>
    <row r="449" spans="12:12" x14ac:dyDescent="0.2">
      <c r="L449" s="9" t="s">
        <v>779</v>
      </c>
    </row>
    <row r="450" spans="12:12" x14ac:dyDescent="0.2">
      <c r="L450" s="9" t="s">
        <v>780</v>
      </c>
    </row>
    <row r="451" spans="12:12" x14ac:dyDescent="0.2">
      <c r="L451" s="9" t="s">
        <v>781</v>
      </c>
    </row>
    <row r="452" spans="12:12" x14ac:dyDescent="0.2">
      <c r="L452" s="9" t="s">
        <v>782</v>
      </c>
    </row>
    <row r="453" spans="12:12" x14ac:dyDescent="0.2">
      <c r="L453" s="9" t="s">
        <v>783</v>
      </c>
    </row>
    <row r="454" spans="12:12" x14ac:dyDescent="0.2">
      <c r="L454" s="9" t="s">
        <v>114</v>
      </c>
    </row>
    <row r="455" spans="12:12" x14ac:dyDescent="0.2">
      <c r="L455" s="9" t="s">
        <v>784</v>
      </c>
    </row>
    <row r="456" spans="12:12" x14ac:dyDescent="0.2">
      <c r="L456" s="9" t="s">
        <v>785</v>
      </c>
    </row>
    <row r="457" spans="12:12" x14ac:dyDescent="0.2">
      <c r="L457" s="9" t="s">
        <v>786</v>
      </c>
    </row>
    <row r="458" spans="12:12" x14ac:dyDescent="0.2">
      <c r="L458" s="9" t="s">
        <v>787</v>
      </c>
    </row>
    <row r="459" spans="12:12" x14ac:dyDescent="0.2">
      <c r="L459" s="9" t="s">
        <v>788</v>
      </c>
    </row>
    <row r="460" spans="12:12" x14ac:dyDescent="0.2">
      <c r="L460" s="9" t="s">
        <v>386</v>
      </c>
    </row>
    <row r="461" spans="12:12" x14ac:dyDescent="0.2">
      <c r="L461" s="9" t="s">
        <v>389</v>
      </c>
    </row>
    <row r="462" spans="12:12" x14ac:dyDescent="0.2">
      <c r="L462" s="9" t="s">
        <v>789</v>
      </c>
    </row>
    <row r="463" spans="12:12" x14ac:dyDescent="0.2">
      <c r="L463" s="9" t="s">
        <v>790</v>
      </c>
    </row>
    <row r="464" spans="12:12" x14ac:dyDescent="0.2">
      <c r="L464" s="9" t="s">
        <v>791</v>
      </c>
    </row>
    <row r="465" spans="12:12" x14ac:dyDescent="0.2">
      <c r="L465" s="9" t="s">
        <v>792</v>
      </c>
    </row>
    <row r="466" spans="12:12" x14ac:dyDescent="0.2">
      <c r="L466" s="9" t="s">
        <v>793</v>
      </c>
    </row>
    <row r="467" spans="12:12" x14ac:dyDescent="0.2">
      <c r="L467" s="9" t="s">
        <v>794</v>
      </c>
    </row>
    <row r="468" spans="12:12" x14ac:dyDescent="0.2">
      <c r="L468" s="9" t="s">
        <v>795</v>
      </c>
    </row>
    <row r="469" spans="12:12" x14ac:dyDescent="0.2">
      <c r="L469" s="9" t="s">
        <v>796</v>
      </c>
    </row>
    <row r="470" spans="12:12" x14ac:dyDescent="0.2">
      <c r="L470" s="9" t="s">
        <v>797</v>
      </c>
    </row>
    <row r="471" spans="12:12" x14ac:dyDescent="0.2">
      <c r="L471" s="9" t="s">
        <v>798</v>
      </c>
    </row>
    <row r="472" spans="12:12" x14ac:dyDescent="0.2">
      <c r="L472" s="9" t="s">
        <v>799</v>
      </c>
    </row>
    <row r="473" spans="12:12" x14ac:dyDescent="0.2">
      <c r="L473" s="9" t="s">
        <v>800</v>
      </c>
    </row>
    <row r="474" spans="12:12" x14ac:dyDescent="0.2">
      <c r="L474" s="9" t="s">
        <v>801</v>
      </c>
    </row>
    <row r="475" spans="12:12" x14ac:dyDescent="0.2">
      <c r="L475" s="9" t="s">
        <v>802</v>
      </c>
    </row>
    <row r="476" spans="12:12" x14ac:dyDescent="0.2">
      <c r="L476" s="9" t="s">
        <v>803</v>
      </c>
    </row>
    <row r="477" spans="12:12" x14ac:dyDescent="0.2">
      <c r="L477" s="9" t="s">
        <v>804</v>
      </c>
    </row>
    <row r="478" spans="12:12" x14ac:dyDescent="0.2">
      <c r="L478" s="9" t="s">
        <v>805</v>
      </c>
    </row>
    <row r="479" spans="12:12" x14ac:dyDescent="0.2">
      <c r="L479" s="9" t="s">
        <v>806</v>
      </c>
    </row>
    <row r="480" spans="12:12" x14ac:dyDescent="0.2">
      <c r="L480" s="9" t="s">
        <v>807</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2.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BD88D8-3F70-426F-869D-2E517E14A9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2024-11-20T09:39:10Z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