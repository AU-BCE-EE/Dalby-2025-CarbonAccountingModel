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372AB895-14C1-FC20-EB20-F1B4BCFD95AE}"/>
  <workbookPr codeName="ThisWorkbook"/>
  <mc:AlternateContent xmlns:mc="http://schemas.openxmlformats.org/markup-compatibility/2006">
    <mc:Choice Requires="x15">
      <x15ac:absPath xmlns:x15ac="http://schemas.microsoft.com/office/spreadsheetml/2010/11/ac" url="https://aarhusuniversitet-my.sharepoint.com/personal/au277187_uni_au_dk/Documents/Documents/GitHub/AU-BCE-EE/Dalby-2025-CarbonAccountingModel/inputs/"/>
    </mc:Choice>
  </mc:AlternateContent>
  <xr:revisionPtr revIDLastSave="36" documentId="8_{CE750D7D-EBC0-4781-B1B5-BC18E3AF91C9}" xr6:coauthVersionLast="47" xr6:coauthVersionMax="47" xr10:uidLastSave="{A072DB77-C014-4220-9C57-2D09C8EAB6D1}"/>
  <bookViews>
    <workbookView xWindow="3510" yWindow="3510" windowWidth="19170" windowHeight="11250" activeTab="1" xr2:uid="{00000000-000D-0000-FFFF-FFFF00000000}"/>
  </bookViews>
  <sheets>
    <sheet name="defaults" sheetId="16" r:id="rId1"/>
    <sheet name="in-barn" sheetId="14" r:id="rId2"/>
    <sheet name="out-of-barn" sheetId="11" r:id="rId3"/>
    <sheet name="outside temp" sheetId="15" r:id="rId4"/>
    <sheet name="parms_list" sheetId="10"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7" i="14" l="1"/>
  <c r="D36" i="14"/>
  <c r="C62" i="14"/>
  <c r="E55" i="16"/>
  <c r="D55" i="16"/>
  <c r="AD79" i="14"/>
  <c r="AD78" i="14"/>
  <c r="AA79" i="14"/>
  <c r="AA78" i="14"/>
  <c r="X79" i="14"/>
  <c r="X78" i="14"/>
  <c r="U79" i="14"/>
  <c r="U78" i="14"/>
  <c r="R79" i="14"/>
  <c r="R78" i="14"/>
  <c r="O79" i="14"/>
  <c r="O78" i="14"/>
  <c r="L79" i="14"/>
  <c r="L78" i="14"/>
  <c r="I79" i="14"/>
  <c r="I78" i="14"/>
  <c r="F79" i="14"/>
  <c r="F78" i="14"/>
  <c r="C79" i="14"/>
  <c r="C78" i="14"/>
  <c r="AD8" i="11"/>
  <c r="AA8" i="11"/>
  <c r="X8" i="11"/>
  <c r="U8" i="11"/>
  <c r="R8" i="11"/>
  <c r="O8" i="11"/>
  <c r="L8" i="11"/>
  <c r="I8" i="11"/>
  <c r="F8" i="11"/>
  <c r="C8" i="11"/>
  <c r="AD94" i="11"/>
  <c r="AD93" i="11"/>
  <c r="AD85" i="11"/>
  <c r="AD83" i="11"/>
  <c r="AD79" i="11"/>
  <c r="AD69" i="11"/>
  <c r="AD67" i="11"/>
  <c r="AD65" i="11"/>
  <c r="AD81" i="11" s="1"/>
  <c r="AD51" i="11"/>
  <c r="AD47" i="11"/>
  <c r="AD37" i="11"/>
  <c r="AD49" i="11" s="1"/>
  <c r="AD34" i="11"/>
  <c r="AD33" i="11"/>
  <c r="AD32" i="11"/>
  <c r="AD31" i="11"/>
  <c r="AD30" i="11"/>
  <c r="AD29" i="11"/>
  <c r="AD28" i="11"/>
  <c r="AD26" i="11"/>
  <c r="AD25" i="11"/>
  <c r="AD24" i="11"/>
  <c r="AD23" i="11"/>
  <c r="AD22" i="11"/>
  <c r="AD21" i="11"/>
  <c r="AD20" i="11"/>
  <c r="AD17" i="11"/>
  <c r="AD15" i="11"/>
  <c r="AD16" i="11" s="1"/>
  <c r="AD14" i="11"/>
  <c r="AD12" i="11"/>
  <c r="AD10" i="11"/>
  <c r="AD11" i="11" s="1"/>
  <c r="AD9" i="11"/>
  <c r="AA94" i="11"/>
  <c r="AA93" i="11"/>
  <c r="AA65" i="11"/>
  <c r="AA81" i="11" s="1"/>
  <c r="AA51" i="11"/>
  <c r="AA49" i="11"/>
  <c r="AA47" i="11"/>
  <c r="AA37" i="11"/>
  <c r="AA61" i="11" s="1"/>
  <c r="AA34" i="11"/>
  <c r="AA33" i="11"/>
  <c r="AA32" i="11"/>
  <c r="AA31" i="11"/>
  <c r="AA30" i="11"/>
  <c r="AA29" i="11"/>
  <c r="AA28" i="11"/>
  <c r="AA26" i="11"/>
  <c r="AA25" i="11"/>
  <c r="AA24" i="11"/>
  <c r="AA23" i="11"/>
  <c r="AA22" i="11"/>
  <c r="AA21" i="11"/>
  <c r="AA20" i="11"/>
  <c r="AA17" i="11"/>
  <c r="AA15" i="11"/>
  <c r="AA16" i="11" s="1"/>
  <c r="AA14" i="11"/>
  <c r="AA12" i="11"/>
  <c r="AA10" i="11"/>
  <c r="AA9" i="11"/>
  <c r="AA11" i="11" s="1"/>
  <c r="Z6" i="11"/>
  <c r="X94" i="11"/>
  <c r="X93" i="11"/>
  <c r="X89" i="11"/>
  <c r="X85" i="11"/>
  <c r="X83" i="11"/>
  <c r="X79" i="11"/>
  <c r="X73" i="11"/>
  <c r="X69" i="11"/>
  <c r="X67" i="11"/>
  <c r="X65" i="11"/>
  <c r="X81" i="11" s="1"/>
  <c r="X37" i="11"/>
  <c r="X51" i="11" s="1"/>
  <c r="X34" i="11"/>
  <c r="X33" i="11"/>
  <c r="X32" i="11"/>
  <c r="X31" i="11"/>
  <c r="X30" i="11"/>
  <c r="X29" i="11"/>
  <c r="X28" i="11"/>
  <c r="X26" i="11"/>
  <c r="X25" i="11"/>
  <c r="X24" i="11"/>
  <c r="X23" i="11"/>
  <c r="X22" i="11"/>
  <c r="X21" i="11"/>
  <c r="X20" i="11"/>
  <c r="X17" i="11"/>
  <c r="X16" i="11"/>
  <c r="X15" i="11"/>
  <c r="X14" i="11"/>
  <c r="X12" i="11"/>
  <c r="X10" i="11"/>
  <c r="X11" i="11" s="1"/>
  <c r="X9" i="11"/>
  <c r="U94" i="11"/>
  <c r="U93" i="11"/>
  <c r="U85" i="11"/>
  <c r="U83" i="11"/>
  <c r="U69" i="11"/>
  <c r="U67" i="11"/>
  <c r="U65" i="11"/>
  <c r="U81" i="11" s="1"/>
  <c r="U51" i="11"/>
  <c r="U37" i="11"/>
  <c r="U49" i="11" s="1"/>
  <c r="U34" i="11"/>
  <c r="U33" i="11"/>
  <c r="U32" i="11"/>
  <c r="U31" i="11"/>
  <c r="U30" i="11"/>
  <c r="U29" i="11"/>
  <c r="U28" i="11"/>
  <c r="U26" i="11"/>
  <c r="U25" i="11"/>
  <c r="U24" i="11"/>
  <c r="U23" i="11"/>
  <c r="U22" i="11"/>
  <c r="U21" i="11"/>
  <c r="U20" i="11"/>
  <c r="U17" i="11"/>
  <c r="U15" i="11"/>
  <c r="U16" i="11" s="1"/>
  <c r="U14" i="11"/>
  <c r="U12" i="11"/>
  <c r="U10" i="11"/>
  <c r="U11" i="11" s="1"/>
  <c r="U9" i="11"/>
  <c r="T6" i="11"/>
  <c r="R94" i="11"/>
  <c r="R93" i="11"/>
  <c r="R89" i="11"/>
  <c r="R85" i="11"/>
  <c r="R83" i="11"/>
  <c r="R77" i="11"/>
  <c r="R75" i="11"/>
  <c r="R73" i="11"/>
  <c r="R69" i="11"/>
  <c r="R67" i="11"/>
  <c r="R65" i="11"/>
  <c r="R81" i="11" s="1"/>
  <c r="R37" i="11"/>
  <c r="R51" i="11" s="1"/>
  <c r="R34" i="11"/>
  <c r="R33" i="11"/>
  <c r="R32" i="11"/>
  <c r="R31" i="11"/>
  <c r="R30" i="11"/>
  <c r="R29" i="11"/>
  <c r="R28" i="11"/>
  <c r="R26" i="11"/>
  <c r="R25" i="11"/>
  <c r="R24" i="11"/>
  <c r="R23" i="11"/>
  <c r="R22" i="11"/>
  <c r="R21" i="11"/>
  <c r="R20" i="11"/>
  <c r="R17" i="11"/>
  <c r="R16" i="11"/>
  <c r="R15" i="11"/>
  <c r="R14" i="11"/>
  <c r="R12" i="11"/>
  <c r="R10" i="11"/>
  <c r="R11" i="11" s="1"/>
  <c r="R9" i="11"/>
  <c r="Q6" i="11"/>
  <c r="O94" i="11"/>
  <c r="O93" i="11"/>
  <c r="O79" i="11"/>
  <c r="O65" i="11"/>
  <c r="O77" i="11" s="1"/>
  <c r="O51" i="11"/>
  <c r="O49" i="11"/>
  <c r="O47" i="11"/>
  <c r="O37" i="11"/>
  <c r="O61" i="11" s="1"/>
  <c r="O34" i="11"/>
  <c r="O33" i="11"/>
  <c r="O32" i="11"/>
  <c r="O31" i="11"/>
  <c r="O30" i="11"/>
  <c r="O29" i="11"/>
  <c r="O28" i="11"/>
  <c r="O26" i="11"/>
  <c r="O25" i="11"/>
  <c r="O24" i="11"/>
  <c r="O23" i="11"/>
  <c r="O22" i="11"/>
  <c r="O21" i="11"/>
  <c r="O20" i="11"/>
  <c r="O17" i="11"/>
  <c r="O15" i="11"/>
  <c r="O16" i="11" s="1"/>
  <c r="O14" i="11"/>
  <c r="O12" i="11"/>
  <c r="O10" i="11"/>
  <c r="O11" i="11" s="1"/>
  <c r="O9" i="11"/>
  <c r="L94" i="11"/>
  <c r="L93" i="11"/>
  <c r="L65" i="11"/>
  <c r="L81" i="11" s="1"/>
  <c r="L51" i="11"/>
  <c r="L49" i="11"/>
  <c r="L47" i="11"/>
  <c r="L37" i="11"/>
  <c r="L61" i="11" s="1"/>
  <c r="L34" i="11"/>
  <c r="L33" i="11"/>
  <c r="L32" i="11"/>
  <c r="L31" i="11"/>
  <c r="L30" i="11"/>
  <c r="L29" i="11"/>
  <c r="L28" i="11"/>
  <c r="L26" i="11"/>
  <c r="L25" i="11"/>
  <c r="L24" i="11"/>
  <c r="L23" i="11"/>
  <c r="L22" i="11"/>
  <c r="L21" i="11"/>
  <c r="L20" i="11"/>
  <c r="L17" i="11"/>
  <c r="L15" i="11"/>
  <c r="L16" i="11" s="1"/>
  <c r="L14" i="11"/>
  <c r="L12" i="11"/>
  <c r="L10" i="11"/>
  <c r="L11" i="11" s="1"/>
  <c r="L9" i="11"/>
  <c r="I94" i="11"/>
  <c r="I93" i="11"/>
  <c r="I79" i="11"/>
  <c r="I65" i="11"/>
  <c r="I77" i="11" s="1"/>
  <c r="I51" i="11"/>
  <c r="I49" i="11"/>
  <c r="I47" i="11"/>
  <c r="I37" i="11"/>
  <c r="I61" i="11" s="1"/>
  <c r="I34" i="11"/>
  <c r="I33" i="11"/>
  <c r="I32" i="11"/>
  <c r="I31" i="11"/>
  <c r="I30" i="11"/>
  <c r="I29" i="11"/>
  <c r="I28" i="11"/>
  <c r="I26" i="11"/>
  <c r="I25" i="11"/>
  <c r="I24" i="11"/>
  <c r="I23" i="11"/>
  <c r="I22" i="11"/>
  <c r="I21" i="11"/>
  <c r="I20" i="11"/>
  <c r="I17" i="11"/>
  <c r="I15" i="11"/>
  <c r="I16" i="11" s="1"/>
  <c r="I14" i="11"/>
  <c r="I12" i="11"/>
  <c r="I10" i="11"/>
  <c r="I9" i="11"/>
  <c r="I11" i="11" s="1"/>
  <c r="H6" i="11"/>
  <c r="F94" i="11"/>
  <c r="F93" i="11"/>
  <c r="F79" i="11"/>
  <c r="F65" i="11"/>
  <c r="F77" i="11" s="1"/>
  <c r="F51" i="11"/>
  <c r="F49" i="11"/>
  <c r="F47" i="11"/>
  <c r="F37" i="11"/>
  <c r="F61" i="11" s="1"/>
  <c r="F34" i="11"/>
  <c r="F33" i="11"/>
  <c r="F32" i="11"/>
  <c r="F31" i="11"/>
  <c r="F30" i="11"/>
  <c r="F29" i="11"/>
  <c r="F28" i="11"/>
  <c r="F26" i="11"/>
  <c r="F25" i="11"/>
  <c r="F24" i="11"/>
  <c r="F23" i="11"/>
  <c r="F22" i="11"/>
  <c r="F21" i="11"/>
  <c r="F20" i="11"/>
  <c r="F17" i="11"/>
  <c r="F15" i="11"/>
  <c r="F16" i="11" s="1"/>
  <c r="F14" i="11"/>
  <c r="F12" i="11"/>
  <c r="F10" i="11"/>
  <c r="F11" i="11" s="1"/>
  <c r="F9" i="11"/>
  <c r="AD1" i="11"/>
  <c r="AD6" i="11" s="1"/>
  <c r="AC1" i="11"/>
  <c r="AC6" i="11" s="1"/>
  <c r="AA1" i="11"/>
  <c r="AA6" i="11" s="1"/>
  <c r="Z1" i="11"/>
  <c r="X1" i="11"/>
  <c r="X6" i="11" s="1"/>
  <c r="W1" i="11"/>
  <c r="W6" i="11" s="1"/>
  <c r="U1" i="11"/>
  <c r="U6" i="11" s="1"/>
  <c r="T1" i="11"/>
  <c r="R1" i="11"/>
  <c r="R6" i="11" s="1"/>
  <c r="Q1" i="11"/>
  <c r="O1" i="11"/>
  <c r="O6" i="11" s="1"/>
  <c r="N1" i="11"/>
  <c r="N6" i="11" s="1"/>
  <c r="L1" i="11"/>
  <c r="L6" i="11" s="1"/>
  <c r="K1" i="11"/>
  <c r="K6" i="11" s="1"/>
  <c r="I1" i="11"/>
  <c r="I6" i="11" s="1"/>
  <c r="H1" i="11"/>
  <c r="F1" i="11"/>
  <c r="F6" i="11" s="1"/>
  <c r="E1" i="11"/>
  <c r="E6" i="11" s="1"/>
  <c r="AD8" i="14"/>
  <c r="AA8" i="14"/>
  <c r="X8" i="14"/>
  <c r="U8" i="14"/>
  <c r="R8" i="14"/>
  <c r="O8" i="14"/>
  <c r="L8" i="14"/>
  <c r="I8" i="14"/>
  <c r="F8" i="14"/>
  <c r="C8" i="14"/>
  <c r="AD74" i="14"/>
  <c r="AD72" i="14"/>
  <c r="AD71" i="14"/>
  <c r="AD70" i="14"/>
  <c r="AD69" i="14"/>
  <c r="AD68" i="14"/>
  <c r="AD67" i="14"/>
  <c r="AD66" i="14"/>
  <c r="AD65" i="14"/>
  <c r="AD62" i="14"/>
  <c r="AE62" i="14" s="1"/>
  <c r="AD44" i="14"/>
  <c r="AD27" i="14"/>
  <c r="AD14" i="14"/>
  <c r="AD13" i="14"/>
  <c r="AD12" i="14"/>
  <c r="AD11" i="14"/>
  <c r="AD10" i="14"/>
  <c r="AD41" i="14" s="1"/>
  <c r="AD9" i="14"/>
  <c r="AD85" i="14" s="1"/>
  <c r="AA74" i="14"/>
  <c r="AA72" i="14"/>
  <c r="AA71" i="14"/>
  <c r="AA70" i="14"/>
  <c r="AA69" i="14"/>
  <c r="AA68" i="14"/>
  <c r="AA67" i="14"/>
  <c r="AA66" i="14"/>
  <c r="AA65" i="14"/>
  <c r="AA62" i="14"/>
  <c r="AB62" i="14" s="1"/>
  <c r="AA44" i="14"/>
  <c r="AA27" i="14"/>
  <c r="AA14" i="14"/>
  <c r="AA13" i="14"/>
  <c r="AA12" i="14"/>
  <c r="AA23" i="14" s="1"/>
  <c r="AA11" i="14"/>
  <c r="AA10" i="14"/>
  <c r="AA41" i="14" s="1"/>
  <c r="AA9" i="14"/>
  <c r="AA89" i="14" s="1"/>
  <c r="X74" i="14"/>
  <c r="X72" i="14"/>
  <c r="X71" i="14"/>
  <c r="X70" i="14"/>
  <c r="X69" i="14"/>
  <c r="X68" i="14"/>
  <c r="X67" i="14"/>
  <c r="X66" i="14"/>
  <c r="X65" i="14"/>
  <c r="X62" i="14"/>
  <c r="Y62" i="14" s="1"/>
  <c r="X44" i="14"/>
  <c r="X27" i="14"/>
  <c r="X14" i="14"/>
  <c r="X13" i="14"/>
  <c r="X12" i="14"/>
  <c r="X11" i="14"/>
  <c r="X10" i="14"/>
  <c r="X41" i="14" s="1"/>
  <c r="X9" i="14"/>
  <c r="X85" i="14" s="1"/>
  <c r="U74" i="14"/>
  <c r="U72" i="14"/>
  <c r="U71" i="14"/>
  <c r="U70" i="14"/>
  <c r="U69" i="14"/>
  <c r="U68" i="14"/>
  <c r="U67" i="14"/>
  <c r="U66" i="14"/>
  <c r="U65" i="14"/>
  <c r="U62" i="14"/>
  <c r="V62" i="14" s="1"/>
  <c r="U44" i="14"/>
  <c r="U27" i="14"/>
  <c r="U14" i="14"/>
  <c r="U13" i="14"/>
  <c r="U12" i="14"/>
  <c r="U11" i="14"/>
  <c r="U10" i="14"/>
  <c r="U41" i="14" s="1"/>
  <c r="U9" i="14"/>
  <c r="U89" i="14" s="1"/>
  <c r="R74" i="14"/>
  <c r="R72" i="14"/>
  <c r="R71" i="14"/>
  <c r="R70" i="14"/>
  <c r="R69" i="14"/>
  <c r="R68" i="14"/>
  <c r="R67" i="14"/>
  <c r="R66" i="14"/>
  <c r="R65" i="14"/>
  <c r="R62" i="14"/>
  <c r="S62" i="14" s="1"/>
  <c r="R44" i="14"/>
  <c r="R27" i="14"/>
  <c r="R14" i="14"/>
  <c r="R13" i="14"/>
  <c r="R12" i="14"/>
  <c r="R11" i="14"/>
  <c r="R10" i="14"/>
  <c r="R9" i="14"/>
  <c r="R85" i="14" s="1"/>
  <c r="O74" i="14"/>
  <c r="O72" i="14"/>
  <c r="O71" i="14"/>
  <c r="O70" i="14"/>
  <c r="O69" i="14"/>
  <c r="O68" i="14"/>
  <c r="O67" i="14"/>
  <c r="O66" i="14"/>
  <c r="O65" i="14"/>
  <c r="O62" i="14"/>
  <c r="P62" i="14" s="1"/>
  <c r="O44" i="14"/>
  <c r="O27" i="14"/>
  <c r="O14" i="14"/>
  <c r="O13" i="14"/>
  <c r="O12" i="14"/>
  <c r="O24" i="14" s="1"/>
  <c r="O11" i="14"/>
  <c r="O10" i="14"/>
  <c r="O9" i="14"/>
  <c r="O88" i="14" s="1"/>
  <c r="L74" i="14"/>
  <c r="L72" i="14"/>
  <c r="L71" i="14"/>
  <c r="L70" i="14"/>
  <c r="L69" i="14"/>
  <c r="L68" i="14"/>
  <c r="L67" i="14"/>
  <c r="L66" i="14"/>
  <c r="L65" i="14"/>
  <c r="L62" i="14"/>
  <c r="M62" i="14" s="1"/>
  <c r="L44" i="14"/>
  <c r="L43" i="14"/>
  <c r="L27" i="14"/>
  <c r="L14" i="14"/>
  <c r="L13" i="14"/>
  <c r="L12" i="14"/>
  <c r="L11" i="14"/>
  <c r="L10" i="14"/>
  <c r="L41" i="14" s="1"/>
  <c r="L9" i="14"/>
  <c r="L88" i="14" s="1"/>
  <c r="I74" i="14"/>
  <c r="I72" i="14"/>
  <c r="I71" i="14"/>
  <c r="I70" i="14"/>
  <c r="I69" i="14"/>
  <c r="I68" i="14"/>
  <c r="I67" i="14"/>
  <c r="I66" i="14"/>
  <c r="I65" i="14"/>
  <c r="I62" i="14"/>
  <c r="J62" i="14" s="1"/>
  <c r="I44" i="14"/>
  <c r="I27" i="14"/>
  <c r="I14" i="14"/>
  <c r="I13" i="14"/>
  <c r="I12" i="14"/>
  <c r="I11" i="14"/>
  <c r="I10" i="14"/>
  <c r="I9" i="14"/>
  <c r="I85" i="14" s="1"/>
  <c r="F74" i="14"/>
  <c r="F72" i="14"/>
  <c r="F71" i="14"/>
  <c r="F70" i="14"/>
  <c r="F69" i="14"/>
  <c r="F68" i="14"/>
  <c r="F67" i="14"/>
  <c r="F66" i="14"/>
  <c r="F65" i="14"/>
  <c r="F62" i="14"/>
  <c r="G62" i="14" s="1"/>
  <c r="F44" i="14"/>
  <c r="F27" i="14"/>
  <c r="F14" i="14"/>
  <c r="F13" i="14"/>
  <c r="F12" i="14"/>
  <c r="F11" i="14"/>
  <c r="F10" i="14"/>
  <c r="F41" i="14" s="1"/>
  <c r="F9" i="14"/>
  <c r="F37" i="14" s="1"/>
  <c r="C186" i="16"/>
  <c r="C14" i="14"/>
  <c r="C13" i="14"/>
  <c r="C12" i="14"/>
  <c r="C10" i="14"/>
  <c r="C9" i="14"/>
  <c r="C83" i="14" s="1"/>
  <c r="C72" i="14"/>
  <c r="C69" i="14"/>
  <c r="C67" i="14"/>
  <c r="C65" i="14"/>
  <c r="C27" i="14"/>
  <c r="C34" i="11"/>
  <c r="C32" i="11"/>
  <c r="C26" i="11"/>
  <c r="C24" i="11"/>
  <c r="C22" i="11"/>
  <c r="C33" i="11"/>
  <c r="C31" i="11"/>
  <c r="C29" i="11"/>
  <c r="C28" i="11"/>
  <c r="C25" i="11"/>
  <c r="C23" i="11"/>
  <c r="C21" i="11"/>
  <c r="C20" i="11"/>
  <c r="C15" i="11"/>
  <c r="C14" i="11"/>
  <c r="C10" i="11"/>
  <c r="C9" i="11"/>
  <c r="C66" i="14"/>
  <c r="C70" i="14"/>
  <c r="C71" i="14"/>
  <c r="C37" i="11" l="1"/>
  <c r="C61" i="11" s="1"/>
  <c r="F90" i="14"/>
  <c r="C65" i="11"/>
  <c r="C89" i="11" s="1"/>
  <c r="C67" i="11"/>
  <c r="C69" i="11"/>
  <c r="C71" i="11"/>
  <c r="C75" i="11"/>
  <c r="C87" i="11"/>
  <c r="C79" i="11"/>
  <c r="C77" i="11"/>
  <c r="C42" i="14"/>
  <c r="L75" i="14"/>
  <c r="R90" i="14"/>
  <c r="X88" i="14"/>
  <c r="F17" i="14"/>
  <c r="F18" i="14" s="1"/>
  <c r="F19" i="14"/>
  <c r="O38" i="14"/>
  <c r="AD90" i="14"/>
  <c r="I75" i="14"/>
  <c r="I88" i="14"/>
  <c r="I89" i="14"/>
  <c r="L29" i="14"/>
  <c r="X21" i="14"/>
  <c r="AA40" i="14"/>
  <c r="O82" i="14"/>
  <c r="X37" i="14"/>
  <c r="AD29" i="14"/>
  <c r="O21" i="14"/>
  <c r="O40" i="14"/>
  <c r="U21" i="14"/>
  <c r="AD43" i="14"/>
  <c r="R84" i="14"/>
  <c r="X75" i="14"/>
  <c r="U97" i="11"/>
  <c r="O17" i="14"/>
  <c r="O18" i="14" s="1"/>
  <c r="O23" i="14"/>
  <c r="R88" i="14"/>
  <c r="X84" i="14"/>
  <c r="O25" i="14"/>
  <c r="O26" i="14"/>
  <c r="O75" i="14"/>
  <c r="X35" i="14"/>
  <c r="X89" i="14"/>
  <c r="F29" i="14"/>
  <c r="I84" i="14"/>
  <c r="L90" i="14"/>
  <c r="O41" i="14"/>
  <c r="O89" i="14"/>
  <c r="R75" i="14"/>
  <c r="U43" i="14"/>
  <c r="W36" i="14"/>
  <c r="X82" i="14"/>
  <c r="AA24" i="14"/>
  <c r="L97" i="11"/>
  <c r="R97" i="11"/>
  <c r="X97" i="11"/>
  <c r="R29" i="14"/>
  <c r="U90" i="14"/>
  <c r="F20" i="14"/>
  <c r="I37" i="14"/>
  <c r="O30" i="14"/>
  <c r="O31" i="14" s="1"/>
  <c r="R37" i="14"/>
  <c r="R89" i="14"/>
  <c r="X90" i="14"/>
  <c r="X43" i="14"/>
  <c r="AA29" i="14"/>
  <c r="AA28" i="14"/>
  <c r="AD35" i="14"/>
  <c r="AD75" i="14"/>
  <c r="AA25" i="14"/>
  <c r="L35" i="14"/>
  <c r="AA17" i="14"/>
  <c r="AA18" i="14" s="1"/>
  <c r="AA35" i="14"/>
  <c r="AD88" i="14"/>
  <c r="I97" i="11"/>
  <c r="O43" i="14"/>
  <c r="F25" i="14"/>
  <c r="O35" i="14"/>
  <c r="L89" i="14"/>
  <c r="O29" i="14"/>
  <c r="N36" i="14"/>
  <c r="U88" i="14"/>
  <c r="X29" i="14"/>
  <c r="AA19" i="14"/>
  <c r="AD89" i="14"/>
  <c r="O97" i="11"/>
  <c r="AA97" i="11"/>
  <c r="AD97" i="11"/>
  <c r="I29" i="14"/>
  <c r="O90" i="14"/>
  <c r="AA90" i="14"/>
  <c r="F28" i="14"/>
  <c r="U35" i="14"/>
  <c r="AA20" i="14"/>
  <c r="AA43" i="14"/>
  <c r="F97" i="11"/>
  <c r="C90" i="14"/>
  <c r="C41" i="14"/>
  <c r="I90" i="14"/>
  <c r="C82" i="14"/>
  <c r="C75" i="14"/>
  <c r="C97" i="11"/>
  <c r="AD39" i="11"/>
  <c r="AD55" i="11"/>
  <c r="AD71" i="11"/>
  <c r="AD87" i="11"/>
  <c r="AD41" i="11"/>
  <c r="AD57" i="11"/>
  <c r="AD73" i="11"/>
  <c r="AD89" i="11"/>
  <c r="AD53" i="11"/>
  <c r="AD43" i="11"/>
  <c r="AD59" i="11"/>
  <c r="AD75" i="11"/>
  <c r="AD45" i="11"/>
  <c r="AD61" i="11"/>
  <c r="AD77" i="11"/>
  <c r="AA53" i="11"/>
  <c r="AA69" i="11"/>
  <c r="AA85" i="11"/>
  <c r="AA39" i="11"/>
  <c r="AA55" i="11"/>
  <c r="AA71" i="11"/>
  <c r="AA87" i="11"/>
  <c r="AA83" i="11"/>
  <c r="AA57" i="11"/>
  <c r="AA73" i="11"/>
  <c r="AA89" i="11"/>
  <c r="AA67" i="11"/>
  <c r="AA41" i="11"/>
  <c r="AA43" i="11"/>
  <c r="AA59" i="11"/>
  <c r="AA75" i="11"/>
  <c r="AA45" i="11"/>
  <c r="AA77" i="11"/>
  <c r="AA79" i="11"/>
  <c r="X53" i="11"/>
  <c r="X39" i="11"/>
  <c r="X55" i="11"/>
  <c r="X71" i="11"/>
  <c r="X87" i="11"/>
  <c r="X43" i="11"/>
  <c r="X59" i="11"/>
  <c r="X75" i="11"/>
  <c r="X41" i="11"/>
  <c r="X45" i="11"/>
  <c r="X61" i="11"/>
  <c r="X77" i="11"/>
  <c r="X57" i="11"/>
  <c r="X47" i="11"/>
  <c r="X49" i="11"/>
  <c r="U39" i="11"/>
  <c r="U55" i="11"/>
  <c r="U71" i="11"/>
  <c r="U87" i="11"/>
  <c r="U53" i="11"/>
  <c r="U41" i="11"/>
  <c r="U57" i="11"/>
  <c r="U73" i="11"/>
  <c r="U89" i="11"/>
  <c r="U43" i="11"/>
  <c r="U59" i="11"/>
  <c r="U75" i="11"/>
  <c r="U45" i="11"/>
  <c r="U61" i="11"/>
  <c r="U77" i="11"/>
  <c r="U47" i="11"/>
  <c r="U79" i="11"/>
  <c r="R39" i="11"/>
  <c r="R55" i="11"/>
  <c r="R71" i="11"/>
  <c r="R87" i="11"/>
  <c r="R61" i="11"/>
  <c r="R43" i="11"/>
  <c r="R59" i="11"/>
  <c r="R45" i="11"/>
  <c r="R47" i="11"/>
  <c r="R79" i="11"/>
  <c r="R53" i="11"/>
  <c r="R41" i="11"/>
  <c r="R57" i="11"/>
  <c r="R49" i="11"/>
  <c r="O81" i="11"/>
  <c r="O67" i="11"/>
  <c r="O53" i="11"/>
  <c r="O69" i="11"/>
  <c r="O85" i="11"/>
  <c r="O39" i="11"/>
  <c r="O55" i="11"/>
  <c r="O71" i="11"/>
  <c r="O87" i="11"/>
  <c r="O89" i="11"/>
  <c r="O73" i="11"/>
  <c r="O43" i="11"/>
  <c r="O59" i="11"/>
  <c r="O75" i="11"/>
  <c r="O83" i="11"/>
  <c r="O41" i="11"/>
  <c r="O57" i="11"/>
  <c r="O45" i="11"/>
  <c r="L67" i="11"/>
  <c r="L85" i="11"/>
  <c r="L39" i="11"/>
  <c r="L55" i="11"/>
  <c r="L71" i="11"/>
  <c r="L87" i="11"/>
  <c r="L83" i="11"/>
  <c r="L41" i="11"/>
  <c r="L57" i="11"/>
  <c r="L73" i="11"/>
  <c r="L89" i="11"/>
  <c r="L53" i="11"/>
  <c r="L43" i="11"/>
  <c r="L59" i="11"/>
  <c r="L75" i="11"/>
  <c r="L69" i="11"/>
  <c r="L45" i="11"/>
  <c r="L77" i="11"/>
  <c r="L79" i="11"/>
  <c r="I67" i="11"/>
  <c r="I53" i="11"/>
  <c r="I69" i="11"/>
  <c r="I85" i="11"/>
  <c r="I39" i="11"/>
  <c r="I55" i="11"/>
  <c r="I71" i="11"/>
  <c r="I87" i="11"/>
  <c r="I81" i="11"/>
  <c r="I83" i="11"/>
  <c r="I89" i="11"/>
  <c r="I41" i="11"/>
  <c r="I73" i="11"/>
  <c r="I43" i="11"/>
  <c r="I59" i="11"/>
  <c r="I75" i="11"/>
  <c r="I57" i="11"/>
  <c r="I45" i="11"/>
  <c r="F83" i="11"/>
  <c r="F53" i="11"/>
  <c r="F85" i="11"/>
  <c r="F39" i="11"/>
  <c r="F55" i="11"/>
  <c r="F71" i="11"/>
  <c r="F87" i="11"/>
  <c r="F81" i="11"/>
  <c r="F67" i="11"/>
  <c r="F69" i="11"/>
  <c r="F41" i="11"/>
  <c r="F57" i="11"/>
  <c r="F73" i="11"/>
  <c r="F89" i="11"/>
  <c r="F43" i="11"/>
  <c r="F59" i="11"/>
  <c r="F75" i="11"/>
  <c r="F45" i="11"/>
  <c r="AD30" i="14"/>
  <c r="AD31" i="14" s="1"/>
  <c r="AD23" i="14"/>
  <c r="AD26" i="14"/>
  <c r="AC36" i="14"/>
  <c r="AD82" i="14"/>
  <c r="AD17" i="14"/>
  <c r="AD18" i="14" s="1"/>
  <c r="AD22" i="14"/>
  <c r="AD19" i="14"/>
  <c r="AC46" i="14"/>
  <c r="AD83" i="14"/>
  <c r="AD20" i="14"/>
  <c r="AD28" i="14"/>
  <c r="AD37" i="14"/>
  <c r="AD84" i="14"/>
  <c r="AD24" i="14"/>
  <c r="AD25" i="14"/>
  <c r="AD21" i="14"/>
  <c r="AD38" i="14"/>
  <c r="AD40" i="14"/>
  <c r="AA26" i="14"/>
  <c r="Z36" i="14"/>
  <c r="AA82" i="14"/>
  <c r="AA83" i="14"/>
  <c r="AA37" i="14"/>
  <c r="AA84" i="14"/>
  <c r="AA21" i="14"/>
  <c r="AA38" i="14"/>
  <c r="AA85" i="14"/>
  <c r="Z46" i="14"/>
  <c r="AA22" i="14"/>
  <c r="AA30" i="14"/>
  <c r="AA31" i="14" s="1"/>
  <c r="AA88" i="14"/>
  <c r="AA75" i="14"/>
  <c r="X30" i="14"/>
  <c r="X31" i="14" s="1"/>
  <c r="X19" i="14"/>
  <c r="W46" i="14"/>
  <c r="X83" i="14"/>
  <c r="X40" i="14"/>
  <c r="X17" i="14"/>
  <c r="X18" i="14" s="1"/>
  <c r="X25" i="14"/>
  <c r="X26" i="14"/>
  <c r="X20" i="14"/>
  <c r="X28" i="14"/>
  <c r="X38" i="14"/>
  <c r="X22" i="14"/>
  <c r="X23" i="14"/>
  <c r="X24" i="14"/>
  <c r="U17" i="14"/>
  <c r="U18" i="14" s="1"/>
  <c r="U25" i="14"/>
  <c r="U26" i="14"/>
  <c r="T36" i="14"/>
  <c r="U82" i="14"/>
  <c r="U19" i="14"/>
  <c r="T46" i="14"/>
  <c r="U83" i="14"/>
  <c r="U20" i="14"/>
  <c r="U28" i="14"/>
  <c r="U37" i="14"/>
  <c r="U84" i="14"/>
  <c r="U29" i="14"/>
  <c r="U38" i="14"/>
  <c r="U85" i="14"/>
  <c r="U22" i="14"/>
  <c r="U30" i="14"/>
  <c r="U31" i="14" s="1"/>
  <c r="U23" i="14"/>
  <c r="U40" i="14"/>
  <c r="U75" i="14"/>
  <c r="U24" i="14"/>
  <c r="R25" i="14"/>
  <c r="R43" i="14"/>
  <c r="R26" i="14"/>
  <c r="Q36" i="14"/>
  <c r="R82" i="14"/>
  <c r="R24" i="14"/>
  <c r="R41" i="14"/>
  <c r="R17" i="14"/>
  <c r="R18" i="14" s="1"/>
  <c r="R35" i="14"/>
  <c r="R19" i="14"/>
  <c r="Q46" i="14"/>
  <c r="R83" i="14"/>
  <c r="R22" i="14"/>
  <c r="R20" i="14"/>
  <c r="R28" i="14"/>
  <c r="R21" i="14"/>
  <c r="R38" i="14"/>
  <c r="R30" i="14"/>
  <c r="R31" i="14" s="1"/>
  <c r="R23" i="14"/>
  <c r="R40" i="14"/>
  <c r="O19" i="14"/>
  <c r="N46" i="14"/>
  <c r="O83" i="14"/>
  <c r="O20" i="14"/>
  <c r="O28" i="14"/>
  <c r="O37" i="14"/>
  <c r="O84" i="14"/>
  <c r="O85" i="14"/>
  <c r="O22" i="14"/>
  <c r="L23" i="14"/>
  <c r="L26" i="14"/>
  <c r="K36" i="14"/>
  <c r="L82" i="14"/>
  <c r="L17" i="14"/>
  <c r="L18" i="14" s="1"/>
  <c r="K46" i="14"/>
  <c r="L83" i="14"/>
  <c r="L19" i="14"/>
  <c r="L20" i="14"/>
  <c r="L28" i="14"/>
  <c r="L37" i="14"/>
  <c r="L84" i="14"/>
  <c r="L40" i="14"/>
  <c r="L24" i="14"/>
  <c r="L25" i="14"/>
  <c r="L21" i="14"/>
  <c r="L38" i="14"/>
  <c r="L85" i="14"/>
  <c r="L22" i="14"/>
  <c r="L30" i="14"/>
  <c r="L31" i="14" s="1"/>
  <c r="I24" i="14"/>
  <c r="I17" i="14"/>
  <c r="I18" i="14" s="1"/>
  <c r="I43" i="14"/>
  <c r="I26" i="14"/>
  <c r="H36" i="14"/>
  <c r="I82" i="14"/>
  <c r="I41" i="14"/>
  <c r="I25" i="14"/>
  <c r="I35" i="14"/>
  <c r="I19" i="14"/>
  <c r="H46" i="14"/>
  <c r="I83" i="14"/>
  <c r="I23" i="14"/>
  <c r="I20" i="14"/>
  <c r="I28" i="14"/>
  <c r="I21" i="14"/>
  <c r="I38" i="14"/>
  <c r="I22" i="14"/>
  <c r="I30" i="14"/>
  <c r="I31" i="14" s="1"/>
  <c r="I40" i="14"/>
  <c r="F43" i="14"/>
  <c r="F35" i="14"/>
  <c r="F26" i="14"/>
  <c r="E36" i="14"/>
  <c r="F82" i="14"/>
  <c r="F84" i="14"/>
  <c r="F21" i="14"/>
  <c r="F38" i="14"/>
  <c r="F85" i="14"/>
  <c r="F22" i="14"/>
  <c r="F30" i="14"/>
  <c r="F31" i="14" s="1"/>
  <c r="F88" i="14"/>
  <c r="E46" i="14"/>
  <c r="F23" i="14"/>
  <c r="F40" i="14"/>
  <c r="F75" i="14"/>
  <c r="F89" i="14"/>
  <c r="F83" i="14"/>
  <c r="F24" i="14"/>
  <c r="C85" i="11"/>
  <c r="C73" i="11"/>
  <c r="C53" i="11"/>
  <c r="C47" i="11"/>
  <c r="C49" i="11"/>
  <c r="C51" i="11"/>
  <c r="C39" i="11"/>
  <c r="C55" i="11"/>
  <c r="C41" i="11"/>
  <c r="C57" i="11"/>
  <c r="C43" i="11"/>
  <c r="C59" i="11"/>
  <c r="C45" i="11"/>
  <c r="C29" i="14"/>
  <c r="C88" i="14"/>
  <c r="C89" i="14"/>
  <c r="C85" i="14"/>
  <c r="C84" i="14"/>
  <c r="C68" i="14"/>
  <c r="AB71" i="16"/>
  <c r="AA71" i="16"/>
  <c r="Z71" i="16"/>
  <c r="Y71" i="16"/>
  <c r="X71" i="16"/>
  <c r="W71" i="16"/>
  <c r="V71" i="16"/>
  <c r="U71" i="16"/>
  <c r="T71" i="16"/>
  <c r="S71" i="16"/>
  <c r="R71" i="16"/>
  <c r="Q71" i="16"/>
  <c r="P71" i="16"/>
  <c r="O71" i="16"/>
  <c r="N71" i="16"/>
  <c r="M71" i="16"/>
  <c r="L71" i="16"/>
  <c r="K71" i="16"/>
  <c r="J71" i="16"/>
  <c r="I71" i="16"/>
  <c r="H71" i="16"/>
  <c r="C43" i="14" s="1"/>
  <c r="Y68" i="16"/>
  <c r="X68" i="16"/>
  <c r="W68" i="16"/>
  <c r="V68" i="16"/>
  <c r="U68" i="16"/>
  <c r="T68" i="16"/>
  <c r="S68" i="16"/>
  <c r="R68" i="16"/>
  <c r="Q68" i="16"/>
  <c r="P68" i="16"/>
  <c r="O68" i="16"/>
  <c r="N68" i="16"/>
  <c r="M68" i="16"/>
  <c r="L68" i="16"/>
  <c r="K68" i="16"/>
  <c r="J68" i="16"/>
  <c r="I68" i="16"/>
  <c r="H68" i="16"/>
  <c r="C68" i="16"/>
  <c r="B68" i="16"/>
  <c r="R39" i="14" s="1"/>
  <c r="G59" i="16"/>
  <c r="F59" i="16"/>
  <c r="AB58" i="16"/>
  <c r="AA58" i="16"/>
  <c r="Z58" i="16"/>
  <c r="U58" i="16"/>
  <c r="T58" i="16"/>
  <c r="S58" i="16"/>
  <c r="R58" i="16"/>
  <c r="Q58" i="16"/>
  <c r="P58" i="16"/>
  <c r="O58" i="16"/>
  <c r="N58" i="16"/>
  <c r="M58" i="16"/>
  <c r="L58" i="16"/>
  <c r="K58" i="16"/>
  <c r="J58" i="16"/>
  <c r="Y55" i="16"/>
  <c r="Y58" i="16" s="1"/>
  <c r="X55" i="16"/>
  <c r="X58" i="16" s="1"/>
  <c r="W55" i="16"/>
  <c r="W58" i="16" s="1"/>
  <c r="V55" i="16"/>
  <c r="V58" i="16" s="1"/>
  <c r="E59" i="16"/>
  <c r="AB53" i="16"/>
  <c r="AA53" i="16"/>
  <c r="Z53" i="16"/>
  <c r="Y53" i="16"/>
  <c r="X53" i="16"/>
  <c r="W53" i="16"/>
  <c r="V53" i="16"/>
  <c r="U53" i="16"/>
  <c r="T53" i="16"/>
  <c r="S53" i="16"/>
  <c r="R53" i="16"/>
  <c r="Q53" i="16"/>
  <c r="P53" i="16"/>
  <c r="O53" i="16"/>
  <c r="N53" i="16"/>
  <c r="M53" i="16"/>
  <c r="L53" i="16"/>
  <c r="K53" i="16"/>
  <c r="J53" i="16"/>
  <c r="I53" i="16"/>
  <c r="H53" i="16"/>
  <c r="G53" i="16"/>
  <c r="F53" i="16"/>
  <c r="E53" i="16"/>
  <c r="D53" i="16"/>
  <c r="C53" i="16"/>
  <c r="C59" i="16" s="1"/>
  <c r="B53" i="16"/>
  <c r="B59" i="16" s="1"/>
  <c r="C81" i="11" l="1"/>
  <c r="C83" i="11"/>
  <c r="AA36" i="14"/>
  <c r="O36" i="14"/>
  <c r="I32" i="14"/>
  <c r="X32" i="14"/>
  <c r="F32" i="14"/>
  <c r="AD90" i="11"/>
  <c r="AE90" i="11" s="1"/>
  <c r="L36" i="14"/>
  <c r="R90" i="11"/>
  <c r="S90" i="11" s="1"/>
  <c r="L39" i="14"/>
  <c r="I36" i="14"/>
  <c r="U36" i="14"/>
  <c r="AD36" i="14"/>
  <c r="X90" i="11"/>
  <c r="Y90" i="11" s="1"/>
  <c r="X39" i="14"/>
  <c r="AD39" i="14"/>
  <c r="R36" i="14"/>
  <c r="AD32" i="14"/>
  <c r="U39" i="14"/>
  <c r="AA39" i="14"/>
  <c r="U62" i="11"/>
  <c r="C39" i="14"/>
  <c r="I39" i="14"/>
  <c r="F39" i="14"/>
  <c r="F36" i="14"/>
  <c r="AA32" i="14"/>
  <c r="U90" i="11"/>
  <c r="V90" i="11" s="1"/>
  <c r="X36" i="14"/>
  <c r="O39" i="14"/>
  <c r="L32" i="14"/>
  <c r="U32" i="14"/>
  <c r="R32" i="14"/>
  <c r="O32" i="14"/>
  <c r="AD62" i="11"/>
  <c r="AA90" i="11"/>
  <c r="AB90" i="11" s="1"/>
  <c r="AA62" i="11"/>
  <c r="X62" i="11"/>
  <c r="R62" i="11"/>
  <c r="O90" i="11"/>
  <c r="P90" i="11" s="1"/>
  <c r="O62" i="11"/>
  <c r="L62" i="11"/>
  <c r="L90" i="11"/>
  <c r="M90" i="11" s="1"/>
  <c r="I90" i="11"/>
  <c r="J90" i="11" s="1"/>
  <c r="I62" i="11"/>
  <c r="F62" i="11"/>
  <c r="F90" i="11"/>
  <c r="G90" i="11" s="1"/>
  <c r="C90" i="11"/>
  <c r="D90" i="11" s="1"/>
  <c r="C62" i="11"/>
  <c r="D59" i="16"/>
  <c r="D62" i="14"/>
  <c r="C38" i="14" l="1"/>
  <c r="C16" i="11" l="1"/>
  <c r="C44" i="14" l="1"/>
  <c r="B36" i="14" l="1"/>
  <c r="C37" i="14"/>
  <c r="B46" i="14" l="1"/>
  <c r="C36" i="14" l="1"/>
  <c r="L77" i="16" l="1"/>
  <c r="I77" i="16"/>
  <c r="G77" i="16"/>
  <c r="V101" i="16"/>
  <c r="U101" i="16"/>
  <c r="T101" i="16"/>
  <c r="S101" i="16"/>
  <c r="V100" i="16"/>
  <c r="U100" i="16"/>
  <c r="T100" i="16"/>
  <c r="S100" i="16"/>
  <c r="V99" i="16"/>
  <c r="U99" i="16"/>
  <c r="T99" i="16"/>
  <c r="S99" i="16"/>
  <c r="V98" i="16"/>
  <c r="U98" i="16"/>
  <c r="T98" i="16"/>
  <c r="S98" i="16"/>
  <c r="V97" i="16"/>
  <c r="U97" i="16"/>
  <c r="T97" i="16"/>
  <c r="S97" i="16"/>
  <c r="V94" i="16"/>
  <c r="U94" i="16"/>
  <c r="T94" i="16"/>
  <c r="S94" i="16"/>
  <c r="V93" i="16"/>
  <c r="U93" i="16"/>
  <c r="T93" i="16"/>
  <c r="S93" i="16"/>
  <c r="L80" i="16"/>
  <c r="I80" i="16"/>
  <c r="H80" i="16"/>
  <c r="G80" i="16"/>
  <c r="L79" i="16"/>
  <c r="H77" i="16"/>
  <c r="C20" i="14" l="1"/>
  <c r="C40" i="14" l="1"/>
  <c r="C21" i="14" l="1"/>
  <c r="C30" i="14"/>
  <c r="C35" i="14" l="1"/>
  <c r="C28" i="14"/>
  <c r="C26" i="14"/>
  <c r="C25" i="14"/>
  <c r="C24" i="14"/>
  <c r="C23" i="14"/>
  <c r="C22" i="14"/>
  <c r="C19" i="14"/>
  <c r="C17" i="14"/>
  <c r="C18" i="14" s="1"/>
  <c r="E1" i="14"/>
  <c r="E6" i="14" s="1"/>
  <c r="F1" i="14"/>
  <c r="F6" i="14" s="1"/>
  <c r="H1" i="14"/>
  <c r="H6" i="14" s="1"/>
  <c r="I1" i="14"/>
  <c r="I6" i="14" s="1"/>
  <c r="K1" i="14"/>
  <c r="K6" i="14" s="1"/>
  <c r="L1" i="14"/>
  <c r="L6" i="14" s="1"/>
  <c r="N1" i="14"/>
  <c r="N6" i="14" s="1"/>
  <c r="O1" i="14"/>
  <c r="O6" i="14" s="1"/>
  <c r="Q1" i="14"/>
  <c r="Q6" i="14" s="1"/>
  <c r="R1" i="14"/>
  <c r="R6" i="14" s="1"/>
  <c r="T1" i="14"/>
  <c r="T6" i="14" s="1"/>
  <c r="U1" i="14"/>
  <c r="U6" i="14" s="1"/>
  <c r="W1" i="14"/>
  <c r="W6" i="14" s="1"/>
  <c r="X1" i="14"/>
  <c r="X6" i="14" s="1"/>
  <c r="Z1" i="14"/>
  <c r="Z6" i="14" s="1"/>
  <c r="AA1" i="14"/>
  <c r="AA6" i="14" s="1"/>
  <c r="AC1" i="14"/>
  <c r="AC6" i="14" s="1"/>
  <c r="AD1" i="14"/>
  <c r="AD6" i="14" s="1"/>
  <c r="AF1" i="14"/>
  <c r="AG1" i="14"/>
  <c r="AI1" i="14"/>
  <c r="AJ1" i="14"/>
  <c r="AL1" i="14"/>
  <c r="AM1" i="14"/>
  <c r="AO1" i="14"/>
  <c r="AP1" i="14"/>
  <c r="AR1" i="14"/>
  <c r="AS1" i="14"/>
  <c r="AU1" i="14"/>
  <c r="AV1" i="14"/>
  <c r="AX1" i="14"/>
  <c r="AY1" i="14"/>
  <c r="BA1" i="14"/>
  <c r="BB1" i="14"/>
  <c r="BD1" i="14"/>
  <c r="BE1" i="14"/>
  <c r="BG1" i="14"/>
  <c r="BH1" i="14"/>
  <c r="BJ1" i="14"/>
  <c r="BK1" i="14"/>
  <c r="BM1" i="14"/>
  <c r="BN1" i="14"/>
  <c r="BP1" i="14"/>
  <c r="BQ1" i="14"/>
  <c r="BS1" i="14"/>
  <c r="BT1" i="14"/>
  <c r="BV1" i="14"/>
  <c r="BW1" i="14"/>
  <c r="BY1" i="14"/>
  <c r="BZ1" i="14"/>
  <c r="CB1" i="14"/>
  <c r="CC1" i="14"/>
  <c r="CE1" i="14"/>
  <c r="CF1" i="14"/>
  <c r="CH1" i="14"/>
  <c r="CI1" i="14"/>
  <c r="CK1" i="14"/>
  <c r="CL1" i="14"/>
  <c r="CN1" i="14"/>
  <c r="CO1" i="14"/>
  <c r="CQ1" i="14"/>
  <c r="CR1" i="14"/>
  <c r="CT1" i="14"/>
  <c r="CU1" i="14"/>
  <c r="CW1" i="14"/>
  <c r="CX1" i="14"/>
  <c r="CZ1" i="14"/>
  <c r="DA1" i="14"/>
  <c r="DC1" i="14"/>
  <c r="DD1" i="14"/>
  <c r="DF1" i="14"/>
  <c r="DG1" i="14"/>
  <c r="DI1" i="14"/>
  <c r="DJ1" i="14"/>
  <c r="DL1" i="14"/>
  <c r="DM1" i="14"/>
  <c r="DO1" i="14"/>
  <c r="DP1" i="14"/>
  <c r="DR1" i="14"/>
  <c r="DS1" i="14"/>
  <c r="DU1" i="14"/>
  <c r="DV1" i="14"/>
  <c r="DX1" i="14"/>
  <c r="DY1" i="14"/>
  <c r="EA1" i="14"/>
  <c r="EB1" i="14"/>
  <c r="ED1" i="14"/>
  <c r="EE1" i="14"/>
  <c r="EG1" i="14"/>
  <c r="EH1" i="14"/>
  <c r="EJ1" i="14"/>
  <c r="EK1" i="14"/>
  <c r="EM1" i="14"/>
  <c r="EN1" i="14"/>
  <c r="EP1" i="14"/>
  <c r="EQ1" i="14"/>
  <c r="ES1" i="14"/>
  <c r="ET1" i="14"/>
  <c r="EV1" i="14"/>
  <c r="EW1" i="14"/>
  <c r="EY1" i="14"/>
  <c r="EZ1" i="14"/>
  <c r="FB1" i="14"/>
  <c r="FC1" i="14"/>
  <c r="FE1" i="14"/>
  <c r="FF1" i="14"/>
  <c r="FH1" i="14"/>
  <c r="FI1" i="14"/>
  <c r="FK1" i="14"/>
  <c r="FL1" i="14"/>
  <c r="FN1" i="14"/>
  <c r="FO1" i="14"/>
  <c r="FQ1" i="14"/>
  <c r="FR1" i="14"/>
  <c r="FT1" i="14"/>
  <c r="FU1" i="14"/>
  <c r="FW1" i="14"/>
  <c r="FX1" i="14"/>
  <c r="FZ1" i="14"/>
  <c r="GA1" i="14"/>
  <c r="GC1" i="14"/>
  <c r="GD1" i="14"/>
  <c r="GF1" i="14"/>
  <c r="GG1" i="14"/>
  <c r="GI1" i="14"/>
  <c r="GJ1" i="14"/>
  <c r="GL1" i="14"/>
  <c r="GM1" i="14"/>
  <c r="GO1" i="14"/>
  <c r="GP1" i="14"/>
  <c r="GR1" i="14"/>
  <c r="GS1" i="14"/>
  <c r="GU1" i="14"/>
  <c r="GV1" i="14"/>
  <c r="GX1" i="14"/>
  <c r="GY1" i="14"/>
  <c r="HA1" i="14"/>
  <c r="HB1" i="14"/>
  <c r="HD1" i="14"/>
  <c r="HE1" i="14"/>
  <c r="HG1" i="14"/>
  <c r="HH1" i="14"/>
  <c r="HJ1" i="14"/>
  <c r="HK1" i="14"/>
  <c r="HM1" i="14"/>
  <c r="HN1" i="14"/>
  <c r="HP1" i="14"/>
  <c r="HQ1" i="14"/>
  <c r="HS1" i="14"/>
  <c r="HT1" i="14"/>
  <c r="HV1" i="14"/>
  <c r="HW1" i="14"/>
  <c r="HY1" i="14"/>
  <c r="HZ1" i="14"/>
  <c r="IB1" i="14"/>
  <c r="IC1" i="14"/>
  <c r="IE1" i="14"/>
  <c r="IF1" i="14"/>
  <c r="IH1" i="14"/>
  <c r="II1" i="14"/>
  <c r="IK1" i="14"/>
  <c r="IL1" i="14"/>
  <c r="IN1" i="14"/>
  <c r="IO1" i="14"/>
  <c r="IQ1" i="14"/>
  <c r="IR1" i="14"/>
  <c r="IT1" i="14"/>
  <c r="IU1" i="14"/>
  <c r="IW1" i="14"/>
  <c r="IX1" i="14"/>
  <c r="IZ1" i="14"/>
  <c r="JA1" i="14"/>
  <c r="JC1" i="14"/>
  <c r="JD1" i="14"/>
  <c r="JF1" i="14"/>
  <c r="JG1" i="14"/>
  <c r="JI1" i="14"/>
  <c r="JJ1" i="14"/>
  <c r="JL1" i="14"/>
  <c r="JM1" i="14"/>
  <c r="JO1" i="14"/>
  <c r="JP1" i="14"/>
  <c r="JR1" i="14"/>
  <c r="JS1" i="14"/>
  <c r="JU1" i="14"/>
  <c r="JV1" i="14"/>
  <c r="JX1" i="14"/>
  <c r="JY1" i="14"/>
  <c r="KA1" i="14"/>
  <c r="KB1" i="14"/>
  <c r="KD1" i="14"/>
  <c r="KE1" i="14"/>
  <c r="KG1" i="14"/>
  <c r="KH1" i="14"/>
  <c r="KJ1" i="14"/>
  <c r="KK1" i="14"/>
  <c r="KM1" i="14"/>
  <c r="KN1" i="14"/>
  <c r="KP1" i="14"/>
  <c r="KQ1" i="14"/>
  <c r="KS1" i="14"/>
  <c r="KT1" i="14"/>
  <c r="KV1" i="14"/>
  <c r="KW1" i="14"/>
  <c r="KY1" i="14"/>
  <c r="KZ1" i="14"/>
  <c r="LB1" i="14"/>
  <c r="LC1" i="14"/>
  <c r="LE1" i="14"/>
  <c r="LF1" i="14"/>
  <c r="LH1" i="14"/>
  <c r="LI1" i="14"/>
  <c r="LK1" i="14"/>
  <c r="LL1" i="14"/>
  <c r="LN1" i="14"/>
  <c r="LO1" i="14"/>
  <c r="LQ1" i="14"/>
  <c r="LR1" i="14"/>
  <c r="LT1" i="14"/>
  <c r="LU1" i="14"/>
  <c r="LW1" i="14"/>
  <c r="LX1" i="14"/>
  <c r="LZ1" i="14"/>
  <c r="MA1" i="14"/>
  <c r="MC1" i="14"/>
  <c r="MD1" i="14"/>
  <c r="MF1" i="14"/>
  <c r="MG1" i="14"/>
  <c r="MI1" i="14"/>
  <c r="MJ1" i="14"/>
  <c r="ML1" i="14"/>
  <c r="MM1" i="14"/>
  <c r="MO1" i="14"/>
  <c r="MP1" i="14"/>
  <c r="MR1" i="14"/>
  <c r="MS1" i="14"/>
  <c r="MU1" i="14"/>
  <c r="MV1" i="14"/>
  <c r="MX1" i="14"/>
  <c r="MY1" i="14"/>
  <c r="NA1" i="14"/>
  <c r="NB1" i="14"/>
  <c r="ND1" i="14"/>
  <c r="NE1" i="14"/>
  <c r="G79" i="16" l="1"/>
  <c r="C17" i="11" l="1"/>
  <c r="C12" i="11"/>
  <c r="C1" i="14" l="1"/>
  <c r="B1" i="14"/>
  <c r="C1" i="11" l="1"/>
  <c r="B1" i="11"/>
  <c r="C94" i="11"/>
  <c r="C93" i="11"/>
  <c r="C30" i="11"/>
  <c r="C6" i="11" l="1"/>
  <c r="C74" i="14"/>
  <c r="C31" i="14"/>
  <c r="C32" i="14" s="1"/>
  <c r="C6" i="14"/>
  <c r="B6" i="14"/>
  <c r="B6" i="11" l="1"/>
  <c r="C11" i="11" l="1"/>
</calcChain>
</file>

<file path=xl/sharedStrings.xml><?xml version="1.0" encoding="utf-8"?>
<sst xmlns="http://schemas.openxmlformats.org/spreadsheetml/2006/main" count="3087" uniqueCount="810">
  <si>
    <t>Removal technology</t>
  </si>
  <si>
    <t>vacuum flushing</t>
  </si>
  <si>
    <t>funnels</t>
  </si>
  <si>
    <t>scrapers, pit</t>
  </si>
  <si>
    <t>trays</t>
  </si>
  <si>
    <t>residual slurry depth, cm</t>
  </si>
  <si>
    <t>slurry removal frequency, days</t>
  </si>
  <si>
    <t>Management</t>
  </si>
  <si>
    <t>finisher, drained + slatted floor (33/67)</t>
  </si>
  <si>
    <t>finisher, partly slatted + 50% solid floor</t>
  </si>
  <si>
    <t>finisher, partly slatted + 25% solid floor</t>
  </si>
  <si>
    <t>finisher, solid floor</t>
  </si>
  <si>
    <t>finisher, bedding</t>
  </si>
  <si>
    <t>sows loose, partly slatted + 61% solid floor</t>
  </si>
  <si>
    <t>sows loose, partly slatted + 61% solid floor + bedding</t>
  </si>
  <si>
    <t>sows loose, solid floor + bedding</t>
  </si>
  <si>
    <t>sows loose, bedding</t>
  </si>
  <si>
    <t>sows individual, partly slatted + 50 % solid floor</t>
  </si>
  <si>
    <t>sows individual, solid floor</t>
  </si>
  <si>
    <t>sows farrowing, box + partly slatted</t>
  </si>
  <si>
    <t>sows farrowing, box + fully slatted</t>
  </si>
  <si>
    <t>piglets, two-climate + partly slatted floor (50%)</t>
  </si>
  <si>
    <t>piglets, drained + slatted floor (50/50)</t>
  </si>
  <si>
    <t>piglets, solid floor</t>
  </si>
  <si>
    <t>piglets, bedding</t>
  </si>
  <si>
    <t>cubicle + slatted floor, ring channel</t>
  </si>
  <si>
    <t>cubicle + slatted floor, back flush</t>
  </si>
  <si>
    <t>cubicle + drained floor, scrapers</t>
  </si>
  <si>
    <t>cubicle + solid floor, scrapers</t>
  </si>
  <si>
    <t>deeplitter + full area</t>
  </si>
  <si>
    <t>deeplitter + short feed area</t>
  </si>
  <si>
    <t>deeplitter + long feed area</t>
  </si>
  <si>
    <t>calf boxes</t>
  </si>
  <si>
    <t>tie-stall + dung channel</t>
  </si>
  <si>
    <t>tie-stall + grates</t>
  </si>
  <si>
    <t>ventilation</t>
  </si>
  <si>
    <t>mechanical</t>
  </si>
  <si>
    <t>natural</t>
  </si>
  <si>
    <r>
      <t>ventilation rate, m</t>
    </r>
    <r>
      <rPr>
        <vertAlign val="superscript"/>
        <sz val="11"/>
        <color theme="1"/>
        <rFont val="Arial"/>
        <family val="2"/>
      </rPr>
      <t>3</t>
    </r>
    <r>
      <rPr>
        <sz val="11"/>
        <color theme="1"/>
        <rFont val="Arial"/>
        <family val="2"/>
      </rPr>
      <t xml:space="preserve"> h</t>
    </r>
    <r>
      <rPr>
        <vertAlign val="superscript"/>
        <sz val="11"/>
        <color theme="1"/>
        <rFont val="Arial"/>
        <family val="2"/>
      </rPr>
      <t>-1</t>
    </r>
    <r>
      <rPr>
        <sz val="11"/>
        <color theme="1"/>
        <rFont val="Arial"/>
        <family val="2"/>
      </rPr>
      <t xml:space="preserve"> animal</t>
    </r>
    <r>
      <rPr>
        <vertAlign val="superscript"/>
        <sz val="11"/>
        <color theme="1"/>
        <rFont val="Arial"/>
        <family val="2"/>
      </rPr>
      <t>-1</t>
    </r>
  </si>
  <si>
    <t>barn temperature, deg C</t>
  </si>
  <si>
    <t>pit depth, cm</t>
  </si>
  <si>
    <t>wash frequency, days</t>
  </si>
  <si>
    <t>NA</t>
  </si>
  <si>
    <r>
      <t>wash water, kg animal</t>
    </r>
    <r>
      <rPr>
        <vertAlign val="superscript"/>
        <sz val="11"/>
        <color theme="1"/>
        <rFont val="Arial"/>
        <family val="2"/>
      </rPr>
      <t>-1</t>
    </r>
  </si>
  <si>
    <t>empty time of section, days</t>
  </si>
  <si>
    <t>mortality rate, %</t>
  </si>
  <si>
    <r>
      <t>grazing days, days yr</t>
    </r>
    <r>
      <rPr>
        <vertAlign val="superscript"/>
        <sz val="11"/>
        <color theme="1"/>
        <rFont val="Arial"/>
        <family val="2"/>
      </rPr>
      <t>-1</t>
    </r>
  </si>
  <si>
    <r>
      <t>grazing hours, h day</t>
    </r>
    <r>
      <rPr>
        <vertAlign val="superscript"/>
        <sz val="11"/>
        <color theme="1"/>
        <rFont val="Arial"/>
        <family val="2"/>
      </rPr>
      <t>-1</t>
    </r>
  </si>
  <si>
    <t>grazing start, month</t>
  </si>
  <si>
    <t>pit/floor ratio</t>
  </si>
  <si>
    <t>excretion ratio, deeplitter/total</t>
  </si>
  <si>
    <r>
      <t>Area, m</t>
    </r>
    <r>
      <rPr>
        <b/>
        <i/>
        <vertAlign val="superscript"/>
        <sz val="11"/>
        <color theme="1"/>
        <rFont val="Arial"/>
        <family val="2"/>
      </rPr>
      <t>2</t>
    </r>
    <r>
      <rPr>
        <b/>
        <i/>
        <sz val="11"/>
        <color theme="1"/>
        <rFont val="Arial"/>
        <family val="2"/>
      </rPr>
      <t xml:space="preserve"> animal</t>
    </r>
    <r>
      <rPr>
        <b/>
        <i/>
        <vertAlign val="superscript"/>
        <sz val="11"/>
        <color theme="1"/>
        <rFont val="Arial"/>
        <family val="2"/>
      </rPr>
      <t>-1</t>
    </r>
  </si>
  <si>
    <t>deeplitter + calf boxes</t>
  </si>
  <si>
    <t>finisher</t>
  </si>
  <si>
    <t>piglet</t>
  </si>
  <si>
    <t>sow, gestation</t>
  </si>
  <si>
    <t>sow, farrowing</t>
  </si>
  <si>
    <t>gilt</t>
  </si>
  <si>
    <t>gilt, gestation</t>
  </si>
  <si>
    <t>cattle, tung race</t>
  </si>
  <si>
    <t>cattle, jersey</t>
  </si>
  <si>
    <t>cattle, tung race, 1. lactation p</t>
  </si>
  <si>
    <t>cattle, tung race, 2. lactation p</t>
  </si>
  <si>
    <t>cattle, tung race, 3. lactation p</t>
  </si>
  <si>
    <t>cattle, tung race, dry</t>
  </si>
  <si>
    <t>cattle, jersey, 1. lactation p</t>
  </si>
  <si>
    <t>cattle, jersey, 2. lactation p</t>
  </si>
  <si>
    <t>cattle, jersey, 3. lactation p</t>
  </si>
  <si>
    <t>cattle, jersey, dry</t>
  </si>
  <si>
    <t>cattle 0-6, tung race</t>
  </si>
  <si>
    <t>cattle 0-6, jersey</t>
  </si>
  <si>
    <t>cattle 6-27, heifer + bull calf, tung race</t>
  </si>
  <si>
    <t>cattle 6-25, heifer + bull calf, jersey</t>
  </si>
  <si>
    <t>bull calf 0-6, tung race</t>
  </si>
  <si>
    <t>bull calf 0-6, jersey</t>
  </si>
  <si>
    <t>bull calf 6-slaugter, tung race</t>
  </si>
  <si>
    <t>bull calf 6-slaugter, jersey</t>
  </si>
  <si>
    <t>suckler cow, barn, &lt; 400 kg</t>
  </si>
  <si>
    <t>suckler cow, barn, 400-600 kg</t>
  </si>
  <si>
    <t>suckler cow, barn, &gt; 600 kg</t>
  </si>
  <si>
    <t>Feed and growth</t>
  </si>
  <si>
    <t>production time, days</t>
  </si>
  <si>
    <r>
      <t>growth, kg yr</t>
    </r>
    <r>
      <rPr>
        <vertAlign val="superscript"/>
        <sz val="11"/>
        <color theme="1"/>
        <rFont val="Arial"/>
        <family val="2"/>
      </rPr>
      <t>-1</t>
    </r>
    <r>
      <rPr>
        <sz val="11"/>
        <color theme="1"/>
        <rFont val="Arial"/>
        <family val="2"/>
      </rPr>
      <t>, kg</t>
    </r>
  </si>
  <si>
    <r>
      <t xml:space="preserve">feed units, </t>
    </r>
    <r>
      <rPr>
        <sz val="11"/>
        <color theme="1"/>
        <rFont val="Arial"/>
        <family val="2"/>
      </rPr>
      <t xml:space="preserve"> FE kg growth</t>
    </r>
    <r>
      <rPr>
        <vertAlign val="superscript"/>
        <sz val="11"/>
        <color theme="1"/>
        <rFont val="Arial"/>
        <family val="2"/>
      </rPr>
      <t>-1</t>
    </r>
  </si>
  <si>
    <r>
      <t>feed units, FE yr</t>
    </r>
    <r>
      <rPr>
        <vertAlign val="superscript"/>
        <sz val="11"/>
        <color theme="1"/>
        <rFont val="Arial"/>
        <family val="2"/>
      </rPr>
      <t>-1</t>
    </r>
  </si>
  <si>
    <r>
      <t xml:space="preserve">feed units in feed, </t>
    </r>
    <r>
      <rPr>
        <sz val="11"/>
        <color theme="1"/>
        <rFont val="Arial"/>
        <family val="2"/>
      </rPr>
      <t xml:space="preserve"> FE kg</t>
    </r>
    <r>
      <rPr>
        <vertAlign val="superscript"/>
        <sz val="11"/>
        <color theme="1"/>
        <rFont val="Arial"/>
        <family val="2"/>
      </rPr>
      <t>-1</t>
    </r>
  </si>
  <si>
    <r>
      <t xml:space="preserve">feed units in feed,  FE kg TS </t>
    </r>
    <r>
      <rPr>
        <vertAlign val="superscript"/>
        <sz val="11"/>
        <color theme="1"/>
        <rFont val="Arial"/>
        <family val="2"/>
      </rPr>
      <t>-1</t>
    </r>
  </si>
  <si>
    <t>feed intake, kg DM animal-1 yr-1</t>
  </si>
  <si>
    <r>
      <t>feed intake, kg animal</t>
    </r>
    <r>
      <rPr>
        <vertAlign val="superscript"/>
        <sz val="11"/>
        <color theme="1"/>
        <rFont val="Arial"/>
        <family val="2"/>
      </rPr>
      <t>-1</t>
    </r>
  </si>
  <si>
    <t>feed DM, %</t>
  </si>
  <si>
    <t>feed digestibility, %</t>
  </si>
  <si>
    <t>feed spill fraction, %</t>
  </si>
  <si>
    <r>
      <t>milk production, kg animal</t>
    </r>
    <r>
      <rPr>
        <vertAlign val="superscript"/>
        <sz val="11"/>
        <color theme="1"/>
        <rFont val="Arial"/>
        <family val="2"/>
      </rPr>
      <t>-1</t>
    </r>
    <r>
      <rPr>
        <sz val="11"/>
        <color theme="1"/>
        <rFont val="Arial"/>
        <family val="2"/>
      </rPr>
      <t xml:space="preserve"> yr</t>
    </r>
    <r>
      <rPr>
        <vertAlign val="superscript"/>
        <sz val="11"/>
        <color theme="1"/>
        <rFont val="Arial"/>
        <family val="2"/>
      </rPr>
      <t>-1</t>
    </r>
  </si>
  <si>
    <r>
      <t>milk protein, g kg milk</t>
    </r>
    <r>
      <rPr>
        <vertAlign val="superscript"/>
        <sz val="11"/>
        <color theme="1"/>
        <rFont val="Arial"/>
        <family val="2"/>
      </rPr>
      <t>-1</t>
    </r>
  </si>
  <si>
    <t>start weight, kg animal-1</t>
  </si>
  <si>
    <t>end weight, kg animal-1</t>
  </si>
  <si>
    <t>body weight, kg animal-1</t>
  </si>
  <si>
    <t>total solids in urine, %</t>
  </si>
  <si>
    <t>total solids in feces, %</t>
  </si>
  <si>
    <r>
      <t>urine production, kg kg feed TS</t>
    </r>
    <r>
      <rPr>
        <vertAlign val="superscript"/>
        <sz val="11"/>
        <color theme="1"/>
        <rFont val="Arial"/>
        <family val="2"/>
      </rPr>
      <t>-1</t>
    </r>
    <r>
      <rPr>
        <sz val="11"/>
        <color theme="1"/>
        <rFont val="Arial"/>
        <family val="2"/>
      </rPr>
      <t>, kg kg feces</t>
    </r>
    <r>
      <rPr>
        <vertAlign val="superscript"/>
        <sz val="11"/>
        <color theme="1"/>
        <rFont val="Arial"/>
        <family val="2"/>
      </rPr>
      <t>-1</t>
    </r>
  </si>
  <si>
    <t>feed days, days</t>
  </si>
  <si>
    <r>
      <t>Bedding material, kg animal</t>
    </r>
    <r>
      <rPr>
        <b/>
        <i/>
        <vertAlign val="superscript"/>
        <sz val="11"/>
        <color theme="1"/>
        <rFont val="Arial"/>
        <family val="2"/>
      </rPr>
      <t>-1</t>
    </r>
  </si>
  <si>
    <t>sows loose,  bedding</t>
  </si>
  <si>
    <r>
      <t>kg animal</t>
    </r>
    <r>
      <rPr>
        <vertAlign val="superscript"/>
        <sz val="11"/>
        <color theme="1"/>
        <rFont val="Arial"/>
        <family val="2"/>
      </rPr>
      <t>-1</t>
    </r>
  </si>
  <si>
    <t>broiler, fast</t>
  </si>
  <si>
    <t>broiler, slow</t>
  </si>
  <si>
    <t>hen, egg laying</t>
  </si>
  <si>
    <t>hen, egg hatching</t>
  </si>
  <si>
    <t>young hen, 16-18 weeks</t>
  </si>
  <si>
    <t>Feed composition</t>
  </si>
  <si>
    <t>Wheat</t>
  </si>
  <si>
    <t>Barley</t>
  </si>
  <si>
    <t>Rye</t>
  </si>
  <si>
    <t>Soybean_meal_toasted</t>
  </si>
  <si>
    <t>Sunflower_meal</t>
  </si>
  <si>
    <t>SoybeanOil</t>
  </si>
  <si>
    <t>Amino_acids</t>
  </si>
  <si>
    <t>MonoCalciumPhosphate_16Ca_23P</t>
  </si>
  <si>
    <t>Wheat_Bran</t>
  </si>
  <si>
    <t>Soybean_hulls</t>
  </si>
  <si>
    <t>Rapeseed_Cake</t>
  </si>
  <si>
    <t>Rapeseed_meal</t>
  </si>
  <si>
    <t>Citrus_Pulp</t>
  </si>
  <si>
    <t>Beetpulp_dried</t>
  </si>
  <si>
    <t>Oats</t>
  </si>
  <si>
    <t>Technology parameters</t>
  </si>
  <si>
    <t>pig</t>
  </si>
  <si>
    <t>cattle</t>
  </si>
  <si>
    <t>poultry</t>
  </si>
  <si>
    <t>any</t>
  </si>
  <si>
    <t>COD removal, %</t>
  </si>
  <si>
    <r>
      <t>acid dose, kg m</t>
    </r>
    <r>
      <rPr>
        <vertAlign val="superscript"/>
        <sz val="11"/>
        <color theme="1"/>
        <rFont val="Arial"/>
        <family val="2"/>
      </rPr>
      <t>-3</t>
    </r>
    <r>
      <rPr>
        <sz val="11"/>
        <color theme="1"/>
        <rFont val="Arial"/>
        <family val="2"/>
      </rPr>
      <t xml:space="preserve"> </t>
    </r>
  </si>
  <si>
    <t>methane oxidized s, % of produced</t>
  </si>
  <si>
    <t>methane flared s, % of produced</t>
  </si>
  <si>
    <t>methane oxidized d, % of produced</t>
  </si>
  <si>
    <t>methane flared d, % of produced</t>
  </si>
  <si>
    <t>Aarhenius parameters</t>
  </si>
  <si>
    <t>LnA</t>
  </si>
  <si>
    <t>Ea</t>
  </si>
  <si>
    <t>VS degradability</t>
  </si>
  <si>
    <t>VS/CH4</t>
  </si>
  <si>
    <t>Other parameters</t>
  </si>
  <si>
    <t>MTC NH3 pit</t>
  </si>
  <si>
    <t>MTC NH3 floor</t>
  </si>
  <si>
    <t>MTC NH3 storage</t>
  </si>
  <si>
    <t>MCF deep litter</t>
  </si>
  <si>
    <t>Application pattern</t>
  </si>
  <si>
    <t>January</t>
  </si>
  <si>
    <t>February</t>
  </si>
  <si>
    <t>March</t>
  </si>
  <si>
    <t>April</t>
  </si>
  <si>
    <t>May</t>
  </si>
  <si>
    <t>June</t>
  </si>
  <si>
    <t>July</t>
  </si>
  <si>
    <t>August</t>
  </si>
  <si>
    <t>September</t>
  </si>
  <si>
    <t>October</t>
  </si>
  <si>
    <t>November</t>
  </si>
  <si>
    <t>December</t>
  </si>
  <si>
    <t>override value</t>
  </si>
  <si>
    <t>animal class</t>
  </si>
  <si>
    <t>animal category</t>
  </si>
  <si>
    <r>
      <t>animals, section</t>
    </r>
    <r>
      <rPr>
        <vertAlign val="superscript"/>
        <sz val="11"/>
        <color theme="1"/>
        <rFont val="Arial"/>
        <family val="2"/>
      </rPr>
      <t>-1</t>
    </r>
  </si>
  <si>
    <t>floor type</t>
  </si>
  <si>
    <t>removal technology</t>
  </si>
  <si>
    <t>slurry under path</t>
  </si>
  <si>
    <t>yes</t>
  </si>
  <si>
    <r>
      <t>area, m</t>
    </r>
    <r>
      <rPr>
        <vertAlign val="superscript"/>
        <sz val="11"/>
        <color theme="1"/>
        <rFont val="Arial"/>
        <family val="2"/>
      </rPr>
      <t xml:space="preserve">2 </t>
    </r>
    <r>
      <rPr>
        <sz val="11"/>
        <color theme="1"/>
        <rFont val="Arial"/>
        <family val="2"/>
      </rPr>
      <t>animal</t>
    </r>
    <r>
      <rPr>
        <vertAlign val="superscript"/>
        <sz val="11"/>
        <color theme="1"/>
        <rFont val="Arial"/>
        <family val="2"/>
      </rPr>
      <t>-1</t>
    </r>
  </si>
  <si>
    <r>
      <t>production area, m</t>
    </r>
    <r>
      <rPr>
        <vertAlign val="superscript"/>
        <sz val="11"/>
        <color theme="1"/>
        <rFont val="Arial"/>
        <family val="2"/>
      </rPr>
      <t>2</t>
    </r>
    <r>
      <rPr>
        <sz val="11"/>
        <color theme="1"/>
        <rFont val="Arial"/>
        <family val="2"/>
      </rPr>
      <t xml:space="preserve"> section</t>
    </r>
    <r>
      <rPr>
        <vertAlign val="superscript"/>
        <sz val="11"/>
        <color theme="1"/>
        <rFont val="Arial"/>
        <family val="2"/>
      </rPr>
      <t>-1</t>
    </r>
  </si>
  <si>
    <r>
      <t>pit area, m</t>
    </r>
    <r>
      <rPr>
        <vertAlign val="superscript"/>
        <sz val="11"/>
        <color theme="1"/>
        <rFont val="Arial"/>
        <family val="2"/>
      </rPr>
      <t>2</t>
    </r>
    <r>
      <rPr>
        <sz val="11"/>
        <color theme="1"/>
        <rFont val="Arial"/>
        <family val="2"/>
      </rPr>
      <t xml:space="preserve"> section</t>
    </r>
    <r>
      <rPr>
        <vertAlign val="superscript"/>
        <sz val="11"/>
        <color theme="1"/>
        <rFont val="Arial"/>
        <family val="2"/>
      </rPr>
      <t>-1</t>
    </r>
  </si>
  <si>
    <t>Feed and excreta</t>
  </si>
  <si>
    <r>
      <t>body weight, kg animal</t>
    </r>
    <r>
      <rPr>
        <vertAlign val="superscript"/>
        <sz val="11"/>
        <color theme="1"/>
        <rFont val="Arial"/>
        <family val="2"/>
      </rPr>
      <t>-1</t>
    </r>
  </si>
  <si>
    <r>
      <t>bedding material, kg animal</t>
    </r>
    <r>
      <rPr>
        <vertAlign val="superscript"/>
        <sz val="11"/>
        <color theme="1"/>
        <rFont val="Arial"/>
        <family val="2"/>
      </rPr>
      <t>-1</t>
    </r>
  </si>
  <si>
    <t>total solids in bedding material, %</t>
  </si>
  <si>
    <t>MgOxid</t>
  </si>
  <si>
    <t>Beet_molasses</t>
  </si>
  <si>
    <t>Limestone_36%Ca</t>
  </si>
  <si>
    <t>Salt_NaCl</t>
  </si>
  <si>
    <t>sum_feed</t>
  </si>
  <si>
    <t>Technologies</t>
  </si>
  <si>
    <t>acidification</t>
  </si>
  <si>
    <t>none</t>
  </si>
  <si>
    <t>solid liquid separation</t>
  </si>
  <si>
    <t>VS removal, %</t>
  </si>
  <si>
    <t>slurry cooling</t>
  </si>
  <si>
    <r>
      <t>cooling effect, w m</t>
    </r>
    <r>
      <rPr>
        <vertAlign val="superscript"/>
        <sz val="11"/>
        <color theme="1"/>
        <rFont val="Arial"/>
        <family val="2"/>
      </rPr>
      <t>-2</t>
    </r>
  </si>
  <si>
    <r>
      <t>cooling time, days yr</t>
    </r>
    <r>
      <rPr>
        <vertAlign val="superscript"/>
        <sz val="11"/>
        <color theme="1"/>
        <rFont val="Arial"/>
        <family val="2"/>
      </rPr>
      <t>-1</t>
    </r>
  </si>
  <si>
    <t>biogas</t>
  </si>
  <si>
    <t>fraction to biogas</t>
  </si>
  <si>
    <t>fraction to storage</t>
  </si>
  <si>
    <t>Slurry exported to</t>
  </si>
  <si>
    <t>digestateID</t>
  </si>
  <si>
    <t>storageID</t>
  </si>
  <si>
    <t>MCF CH4 solid manure, %</t>
  </si>
  <si>
    <t>storage depth, m</t>
  </si>
  <si>
    <t>storage diameter, m</t>
  </si>
  <si>
    <r>
      <t>storage volume, m</t>
    </r>
    <r>
      <rPr>
        <vertAlign val="superscript"/>
        <sz val="11"/>
        <color theme="1"/>
        <rFont val="Arial"/>
        <family val="2"/>
      </rPr>
      <t>3</t>
    </r>
  </si>
  <si>
    <t>digestate depth, m</t>
  </si>
  <si>
    <t>digestate diameter, m</t>
  </si>
  <si>
    <r>
      <t>digestate volume, m</t>
    </r>
    <r>
      <rPr>
        <vertAlign val="superscript"/>
        <sz val="11"/>
        <color theme="1"/>
        <rFont val="Arial"/>
        <family val="2"/>
      </rPr>
      <t>3</t>
    </r>
  </si>
  <si>
    <t>cover s</t>
  </si>
  <si>
    <t>tent</t>
  </si>
  <si>
    <t>acidification s</t>
  </si>
  <si>
    <r>
      <t>acid dose s, kg m</t>
    </r>
    <r>
      <rPr>
        <vertAlign val="superscript"/>
        <sz val="11"/>
        <color theme="1"/>
        <rFont val="Arial"/>
        <family val="2"/>
      </rPr>
      <t>-3</t>
    </r>
  </si>
  <si>
    <t>controlled ventilation s</t>
  </si>
  <si>
    <t>flaring s</t>
  </si>
  <si>
    <t>cover d</t>
  </si>
  <si>
    <t>acidification d</t>
  </si>
  <si>
    <r>
      <t>acid dose d, kg m</t>
    </r>
    <r>
      <rPr>
        <vertAlign val="superscript"/>
        <sz val="11"/>
        <color theme="1"/>
        <rFont val="Arial"/>
        <family val="2"/>
      </rPr>
      <t>-3</t>
    </r>
  </si>
  <si>
    <t>controlled ventilation d</t>
  </si>
  <si>
    <t>flaring d</t>
  </si>
  <si>
    <t>Slurry land application storage</t>
  </si>
  <si>
    <t>application pattern s</t>
  </si>
  <si>
    <t>app time1 s</t>
  </si>
  <si>
    <t>fraction used1 s</t>
  </si>
  <si>
    <t>app time2 s</t>
  </si>
  <si>
    <t>fraction used2 s</t>
  </si>
  <si>
    <t>app time3 s</t>
  </si>
  <si>
    <t>fraction used3 s</t>
  </si>
  <si>
    <t>app time4 s</t>
  </si>
  <si>
    <t>fraction used4 s</t>
  </si>
  <si>
    <t>app time5 s</t>
  </si>
  <si>
    <t>fraction used5 s</t>
  </si>
  <si>
    <t>app time6 s</t>
  </si>
  <si>
    <t>fraction used6 s</t>
  </si>
  <si>
    <t>app time7 s</t>
  </si>
  <si>
    <t>fraction used7 s</t>
  </si>
  <si>
    <t>app time8 s</t>
  </si>
  <si>
    <t>fraction used8 s</t>
  </si>
  <si>
    <t>app time9 s</t>
  </si>
  <si>
    <t>fraction used9 s</t>
  </si>
  <si>
    <t>app time10 s</t>
  </si>
  <si>
    <t>fraction used10 s</t>
  </si>
  <si>
    <t>app time11 s</t>
  </si>
  <si>
    <t>fraction used11 s</t>
  </si>
  <si>
    <t>app time12 s</t>
  </si>
  <si>
    <t>fraction used12 s</t>
  </si>
  <si>
    <t>sum applied</t>
  </si>
  <si>
    <t>Slurry land application digestate</t>
  </si>
  <si>
    <t>application pattern d</t>
  </si>
  <si>
    <t>app time1 d</t>
  </si>
  <si>
    <t>fraction used1 d</t>
  </si>
  <si>
    <t>app time2 d</t>
  </si>
  <si>
    <t>fraction used2 d</t>
  </si>
  <si>
    <t>app time3 d</t>
  </si>
  <si>
    <t>fraction used3 d</t>
  </si>
  <si>
    <t>app time4 d</t>
  </si>
  <si>
    <t>fraction used4 d</t>
  </si>
  <si>
    <t>app time5 d</t>
  </si>
  <si>
    <t>fraction used5 d</t>
  </si>
  <si>
    <t>app time6 d</t>
  </si>
  <si>
    <t>fraction used6 d</t>
  </si>
  <si>
    <t>app time7 d</t>
  </si>
  <si>
    <t>fraction used7 d</t>
  </si>
  <si>
    <t>app time8 d</t>
  </si>
  <si>
    <t>fraction used8 d</t>
  </si>
  <si>
    <t>app time9 d</t>
  </si>
  <si>
    <t>fraction used9 d</t>
  </si>
  <si>
    <t>app time10 d</t>
  </si>
  <si>
    <t>fraction used10 d</t>
  </si>
  <si>
    <t>app time11 d</t>
  </si>
  <si>
    <t>fraction used11 d</t>
  </si>
  <si>
    <t>app time12 d</t>
  </si>
  <si>
    <t>fraction used12 d</t>
  </si>
  <si>
    <t>Wheater</t>
  </si>
  <si>
    <r>
      <t>rain, mm day</t>
    </r>
    <r>
      <rPr>
        <vertAlign val="superscript"/>
        <sz val="11"/>
        <color theme="1"/>
        <rFont val="Arial"/>
        <family val="2"/>
      </rPr>
      <t>-1</t>
    </r>
  </si>
  <si>
    <r>
      <t>radiation, MJ m</t>
    </r>
    <r>
      <rPr>
        <vertAlign val="superscript"/>
        <sz val="11"/>
        <color theme="1"/>
        <rFont val="Arial"/>
        <family val="2"/>
      </rPr>
      <t>-2</t>
    </r>
    <r>
      <rPr>
        <sz val="11"/>
        <color theme="1"/>
        <rFont val="Arial"/>
        <family val="2"/>
      </rPr>
      <t xml:space="preserve"> day</t>
    </r>
    <r>
      <rPr>
        <vertAlign val="superscript"/>
        <sz val="11"/>
        <color theme="1"/>
        <rFont val="Arial"/>
        <family val="2"/>
      </rPr>
      <t>-1</t>
    </r>
  </si>
  <si>
    <t>Other parms</t>
  </si>
  <si>
    <t>month_name</t>
  </si>
  <si>
    <t>month</t>
  </si>
  <si>
    <t>day</t>
  </si>
  <si>
    <t>Air_temp_C</t>
  </si>
  <si>
    <t>Slurry_temp_C</t>
  </si>
  <si>
    <t>d.Slurry_temp_C</t>
  </si>
  <si>
    <t>vechi slurry temp</t>
  </si>
  <si>
    <t>vechi digestate temp</t>
  </si>
  <si>
    <t>Jan_Dec</t>
  </si>
  <si>
    <t>Januar</t>
  </si>
  <si>
    <t>Februar</t>
  </si>
  <si>
    <t>Marts</t>
  </si>
  <si>
    <t>Maj</t>
  </si>
  <si>
    <t>Juni</t>
  </si>
  <si>
    <t>Juli</t>
  </si>
  <si>
    <t>Oktober</t>
  </si>
  <si>
    <t>Dec_Jan</t>
  </si>
  <si>
    <t>animal_class</t>
  </si>
  <si>
    <t>animal_category</t>
  </si>
  <si>
    <t>floor_type</t>
  </si>
  <si>
    <t>removal_tech</t>
  </si>
  <si>
    <t>ventilation_system</t>
  </si>
  <si>
    <t>slurry_cooling</t>
  </si>
  <si>
    <t>cover</t>
  </si>
  <si>
    <t>slurry_below_middle_path</t>
  </si>
  <si>
    <t>feed_ingredients_pig</t>
  </si>
  <si>
    <t>feed_ingredients_cattle</t>
  </si>
  <si>
    <t>feed_ingredients_poultry</t>
  </si>
  <si>
    <t>controlled ventilation</t>
  </si>
  <si>
    <t>flaring</t>
  </si>
  <si>
    <t>solid liquid separtion</t>
  </si>
  <si>
    <t>Alfalfa_pellets</t>
  </si>
  <si>
    <t>3-NOP</t>
  </si>
  <si>
    <t>continuous H2SO4 acidification</t>
  </si>
  <si>
    <t>A_8</t>
  </si>
  <si>
    <t>batch H2SO4 acidification</t>
  </si>
  <si>
    <t>straw</t>
  </si>
  <si>
    <t>AcidBuf,_Celtic_Sea_minerals</t>
  </si>
  <si>
    <t>natural_crust</t>
  </si>
  <si>
    <t>ADE-_vitaminer,_flydende</t>
  </si>
  <si>
    <t>ringchannel</t>
  </si>
  <si>
    <t>clay_pebbles</t>
  </si>
  <si>
    <t>Cane_molasses</t>
  </si>
  <si>
    <t>ADE-_vitaminer,_piller</t>
  </si>
  <si>
    <t>floating_PVC</t>
  </si>
  <si>
    <t>ADE-_vitaminer,_pulver</t>
  </si>
  <si>
    <t>biocover_porous_sheet</t>
  </si>
  <si>
    <t>DDGS_dried</t>
  </si>
  <si>
    <t>agro_prax_Rindermineral_Classic</t>
  </si>
  <si>
    <t>corrugated_sheets</t>
  </si>
  <si>
    <t>Fababean</t>
  </si>
  <si>
    <t>AkoFeed_Cattle,_Veg_liquid_fat</t>
  </si>
  <si>
    <t>lid</t>
  </si>
  <si>
    <t>Fishmeal</t>
  </si>
  <si>
    <t>AkoFeed_Gigant_45,_Veg_fat_rumen_protected</t>
  </si>
  <si>
    <t>oil</t>
  </si>
  <si>
    <t>AkoFeed_Gigant_60,_Veg_fat_rumen_protected</t>
  </si>
  <si>
    <t>peat</t>
  </si>
  <si>
    <t>Linseed</t>
  </si>
  <si>
    <t>AkoFeed_Gigant_75,_Veg_fat_rumen_protected</t>
  </si>
  <si>
    <t>wood_chips</t>
  </si>
  <si>
    <t>Lupin_blue</t>
  </si>
  <si>
    <t>AkoFeed_Gigant_98,_AAK</t>
  </si>
  <si>
    <t>Maize</t>
  </si>
  <si>
    <t>AkoFeed_Lac_45,_Veg_fat_rumen_protected</t>
  </si>
  <si>
    <t>Maize_gluten_feed</t>
  </si>
  <si>
    <t>AkoFeed_Lac_70,_Veg_fat_rumen_protected,_AAK</t>
  </si>
  <si>
    <t>AkoFeed_Soft,_Veg_liquid_fat_AAK</t>
  </si>
  <si>
    <t>Mono_Na_Phophate_20Na_24P</t>
  </si>
  <si>
    <t>AkoFeed_Standard,_Veg_liquid_fat</t>
  </si>
  <si>
    <t>ATR_rapskager_9,5_%_fedt</t>
  </si>
  <si>
    <t>suckler cow, &lt; 400 kg</t>
  </si>
  <si>
    <t>Barley_+_pea_silage,_dough,_20%_peas</t>
  </si>
  <si>
    <t>suckler cow, 400-600 kg</t>
  </si>
  <si>
    <t>Peas</t>
  </si>
  <si>
    <t>Barley_+_pea_silage,_dough,_40%_peas</t>
  </si>
  <si>
    <t>suckler cow, &gt; 600 kg</t>
  </si>
  <si>
    <t>Potato_protein</t>
  </si>
  <si>
    <t>barley_+_pea_silage,_dough,_60%_peas</t>
  </si>
  <si>
    <t>Rapeseed</t>
  </si>
  <si>
    <t>Barley_DK_2020,_crimped,_66%_DM</t>
  </si>
  <si>
    <t>Barley_DK_2020,_NaOH_treated,_75%_DM</t>
  </si>
  <si>
    <t>Barley_pea_whole_crop_silage,_boot,_40%_peas</t>
  </si>
  <si>
    <t>Barley_pea_whole_crop_silage,_boot,_70%_peas</t>
  </si>
  <si>
    <t>Barley_Wheat_mix</t>
  </si>
  <si>
    <t>SkimmedMilkPowder</t>
  </si>
  <si>
    <t>Barley_whole_crop_silage,_dough,_high_OMD</t>
  </si>
  <si>
    <t>SodiumBiCarbonate</t>
  </si>
  <si>
    <t>Barley_whole_crop_silage,_dough,_low_OMD</t>
  </si>
  <si>
    <t>Soybean_cake</t>
  </si>
  <si>
    <t>Barley_whole_crop_silage,_dough,_med._OMD</t>
  </si>
  <si>
    <t>Barley,_1,5%_urea,_80%_DM</t>
  </si>
  <si>
    <t>broiler fast, deeplitter + 1000</t>
  </si>
  <si>
    <t>Barley,_crimped,_66%_DM</t>
  </si>
  <si>
    <t>broiler fast, deeplitter + 100</t>
  </si>
  <si>
    <t>Barley,_NaOH_treated,_75%_DM</t>
  </si>
  <si>
    <t>broiler slow, deeplitter + 1000</t>
  </si>
  <si>
    <t>Soybeans_toasted</t>
  </si>
  <si>
    <t>Barley,_whole_crop,_dough</t>
  </si>
  <si>
    <t>broiler slow, deeplitter + 100</t>
  </si>
  <si>
    <t>Straw_Wheat</t>
  </si>
  <si>
    <t>free egg laying, pits</t>
  </si>
  <si>
    <t>Sunflower_cake</t>
  </si>
  <si>
    <t>Beet_pulp,_dried</t>
  </si>
  <si>
    <t>free egg laying</t>
  </si>
  <si>
    <t>Beet_pulp,_dried,_light_molassed</t>
  </si>
  <si>
    <t>free egg laying, pits + multiple storey-manure belt</t>
  </si>
  <si>
    <t>Triticale</t>
  </si>
  <si>
    <t>Beet_pulp,_hard_pressed,_silage</t>
  </si>
  <si>
    <t>scraping egg laying, pits</t>
  </si>
  <si>
    <t>scraping egg laying, multiple storey-manure belt</t>
  </si>
  <si>
    <t>Beet_pulp,_molassed</t>
  </si>
  <si>
    <t>scraping egg laying, pits + multiple storey-manure belt</t>
  </si>
  <si>
    <t>Wheat_gluten_feed</t>
  </si>
  <si>
    <t>Beet_pulp,_molassed,_Danisco</t>
  </si>
  <si>
    <t>Caged hen, manure belt</t>
  </si>
  <si>
    <t>Wheat_middlings</t>
  </si>
  <si>
    <t>Beet_top,_green,_20%_ash</t>
  </si>
  <si>
    <t>Caged hen, stall manure belt</t>
  </si>
  <si>
    <t>Beet_top,_silage</t>
  </si>
  <si>
    <t>Beets_+_top,_silage</t>
  </si>
  <si>
    <t>Bergafat</t>
  </si>
  <si>
    <t>BEWI-SPRAY_99_M</t>
  </si>
  <si>
    <t>BEWI-SPRAY_RS_70</t>
  </si>
  <si>
    <t>Bio-Chlor_estimated</t>
  </si>
  <si>
    <t>Bolifor_Mag_33</t>
  </si>
  <si>
    <t>Bova-Promi_33,_Broering</t>
  </si>
  <si>
    <t>Brewers_grain,_ensiled</t>
  </si>
  <si>
    <t>Brewers_grain,_fresh</t>
  </si>
  <si>
    <t>Byoprofin_V_LBD</t>
  </si>
  <si>
    <t>C11</t>
  </si>
  <si>
    <t>Cabbage,_estimated,_Brassica_o._capitata</t>
  </si>
  <si>
    <t>Calcium_chloride_anhydrate</t>
  </si>
  <si>
    <t>Calcium_chloride_dihydrat</t>
  </si>
  <si>
    <t>Calcium_soaps_(PFAD)</t>
  </si>
  <si>
    <t>Calciumformiat</t>
  </si>
  <si>
    <t>Camelina_Sativa_expeller_etsimated</t>
  </si>
  <si>
    <t>CARLI_ALFAPure_bales_14</t>
  </si>
  <si>
    <t>CARLI_ALFAPure_bales_18</t>
  </si>
  <si>
    <t>CARLI_ALFAPure_bales_20</t>
  </si>
  <si>
    <t>CARLI_ALFAPure_pellet_14</t>
  </si>
  <si>
    <t>CARLI_ALFAPure_pellet_16</t>
  </si>
  <si>
    <t>CARLI_ALFAPure_pellet_20</t>
  </si>
  <si>
    <t>CARLI_ALFAPure_pellet_22</t>
  </si>
  <si>
    <t>CARLI_RYEStar_bales_10</t>
  </si>
  <si>
    <t>CARLI_RYEStar_bales_12</t>
  </si>
  <si>
    <t>CARLI_RYEStar_pellet_10</t>
  </si>
  <si>
    <t>CARLI_STRAWLight_bales</t>
  </si>
  <si>
    <t>CARLI_STRAWLight_pellets</t>
  </si>
  <si>
    <t>Carrots</t>
  </si>
  <si>
    <t>Chocolate_pieces</t>
  </si>
  <si>
    <t>Citrus_pulp,_dried</t>
  </si>
  <si>
    <t>Clover_grass_,_6-8_cm,_early,_not_irrigated</t>
  </si>
  <si>
    <t>Clover_grass_hay,_high_OMD</t>
  </si>
  <si>
    <t>Clover_grass_hay,_low_OMD,_wrap</t>
  </si>
  <si>
    <t>Clover_grass_silage,_1st_cut</t>
  </si>
  <si>
    <t>Clover_grass_silage,_2nd_cut</t>
  </si>
  <si>
    <t>Clover_grass_silage,_3._cut</t>
  </si>
  <si>
    <t>Clover_grass_silage,_4th_cut</t>
  </si>
  <si>
    <t>Clover_grass_silage,_5th_cut</t>
  </si>
  <si>
    <t>Clover_grass_silage,_6th_cut</t>
  </si>
  <si>
    <t>Clover_grass_silage,_7th_cut</t>
  </si>
  <si>
    <t>Clover_grass_silage,_high_OMD,_20%_klÃ¸ver</t>
  </si>
  <si>
    <t>Clover_grass_silage,_high_OMD,_40%_clover</t>
  </si>
  <si>
    <t>Clover_grass_silage,_high_OMD,_60%_clover</t>
  </si>
  <si>
    <t>Clover_grass_silage,_low_OMD,_20%_clover</t>
  </si>
  <si>
    <t>Clover_grass_silage,_low_OMD,_40%_clover</t>
  </si>
  <si>
    <t>Clover_grass_silage,_low_OMD,_60%_clover</t>
  </si>
  <si>
    <t>Clover_grass_silage,_medium_OMD,_20%_clover</t>
  </si>
  <si>
    <t>Clover_grass_silage,_medium_OMD,_40%_clover</t>
  </si>
  <si>
    <t>Clover_grass_silage,_medium_OMD,_60%_clover</t>
  </si>
  <si>
    <t>Clover_grass,_12-15_cm,_20%_clover</t>
  </si>
  <si>
    <t>Clover_grass,_12-15_cm,_40%_clover</t>
  </si>
  <si>
    <t>Clover_grass,_12-15_cm,_60%_clover</t>
  </si>
  <si>
    <t>Clover_grass,_12-15_cm,_early,_irrigated</t>
  </si>
  <si>
    <t>Clover_grass,_12-15_cm,_early,_not_irrigated</t>
  </si>
  <si>
    <t>Clover_grass,_12-15_cm,_late,_irrigated</t>
  </si>
  <si>
    <t>Clover_grass,_12-15_cm,_late,_not_irrigated</t>
  </si>
  <si>
    <t>Clover_grass,_12-15_cm,_mid_season,_irrigated</t>
  </si>
  <si>
    <t>Clover_grass,_12-15_cm,_mid_season,_not_irrigated</t>
  </si>
  <si>
    <t>Clover_grass,_1st_cut,_fresh</t>
  </si>
  <si>
    <t>Clover_grass,_20-25_cm,_20%_clover</t>
  </si>
  <si>
    <t>Clover_grass,_20-25_cm,_40%_clover</t>
  </si>
  <si>
    <t>Clover_grass,_20-25_cm,_60%_clover</t>
  </si>
  <si>
    <t>Clover_grass,_2nd_cut</t>
  </si>
  <si>
    <t>Clover_grass,_3._cut,_fresh</t>
  </si>
  <si>
    <t>Clover_grass,_4._cut,_fresh</t>
  </si>
  <si>
    <t>Clover_grass,_5._cut,_fresh</t>
  </si>
  <si>
    <t>Clover_grass,_6._cut,_fresh</t>
  </si>
  <si>
    <t>Clover_grass,_6-8_cm,_20%_clover</t>
  </si>
  <si>
    <t>Clover_grass,_6-8_cm,_40%_clover</t>
  </si>
  <si>
    <t>Clover_grass,_6-8_cm,_60%_clover</t>
  </si>
  <si>
    <t>Clover_grass,_6-8_cm,_early,_irrigated</t>
  </si>
  <si>
    <t>Clover_grass,_6-8_cm,_late,_irrigated</t>
  </si>
  <si>
    <t>Clover_grass,_6-8_cm,_late,_not_irrigated</t>
  </si>
  <si>
    <t>Clover_grass,_6-8_cm,_mid_season,_irrigated</t>
  </si>
  <si>
    <t>Clover_grass,_6-8_cm,_mid_season,_not_irrigated</t>
  </si>
  <si>
    <t>Clover_grass,_7._cut,_fresh</t>
  </si>
  <si>
    <t>Clover_grass,_8._cut,_fresh</t>
  </si>
  <si>
    <t>Clovergrass_+_maize,_silage</t>
  </si>
  <si>
    <t>Cocksfoot,_silage</t>
  </si>
  <si>
    <t>Cotton_seed_(estimate)</t>
  </si>
  <si>
    <t>Crimped_faba_beans</t>
  </si>
  <si>
    <t>Danrapskagefoder_11,5%_fedt</t>
  </si>
  <si>
    <t>Deleted_Rape_seed_exp._13%_fat</t>
  </si>
  <si>
    <t>Deleted_Rape_seed_exp._13%_fat,_heattreated</t>
  </si>
  <si>
    <t>Deleted_Rape_seed_expeller,__10%_fat,_HT</t>
  </si>
  <si>
    <t>deukaMin_NG_Kuh_FIT</t>
  </si>
  <si>
    <t>deukaMin_NG_Kuh_FIT_NP</t>
  </si>
  <si>
    <t>deukaMin_NG_Kuh_FIT-TMR</t>
  </si>
  <si>
    <t>deukaMin_NG_Kuh_LAC</t>
  </si>
  <si>
    <t>deukaMin_NG_Kuh_LAC_NP</t>
  </si>
  <si>
    <t>deukaMin_NG_Kuh_TS</t>
  </si>
  <si>
    <t>deukaMin_NG_Kuh_TSPlus</t>
  </si>
  <si>
    <t>DGS-protein</t>
  </si>
  <si>
    <t>Distillers_dried_grains_solubles,_dark,_maize_b</t>
  </si>
  <si>
    <t>Distillers_dried_grains_solubles,_Golden,_maize_b.</t>
  </si>
  <si>
    <t>Distillers_dried_grains,_based_wheat_&amp;_other_grain</t>
  </si>
  <si>
    <t>Distillers_grains,_fresh</t>
  </si>
  <si>
    <t>Do_not_use_Use_2-73</t>
  </si>
  <si>
    <t>E-_vitaminer,_pulver</t>
  </si>
  <si>
    <t>Easylin_25_Protect,_Agrosom</t>
  </si>
  <si>
    <t>Easylin_48_Protect,_Agrosom</t>
  </si>
  <si>
    <t>Easylin_Energy_Protect,_Agrosom</t>
  </si>
  <si>
    <t>Egeskov_rapskage,_koldpresset,_13,5%_fedt</t>
  </si>
  <si>
    <t>Emmelev_rapskager_10,5_%_fedt</t>
  </si>
  <si>
    <t>EnergiMprotHstivL</t>
  </si>
  <si>
    <t>Ensiled_stripped_barley</t>
  </si>
  <si>
    <t>Ensiled_stripped_oats</t>
  </si>
  <si>
    <t>Ensiled_stripped_pea</t>
  </si>
  <si>
    <t>Ensiled_stripped_rye</t>
  </si>
  <si>
    <t>Ensiled_stripped_wheat</t>
  </si>
  <si>
    <t>ExPro(R)_Rape_seed_meal,_heat_treated</t>
  </si>
  <si>
    <t>Extrulin_60,_Agrosom</t>
  </si>
  <si>
    <t>Faba_beans</t>
  </si>
  <si>
    <t>Faba_beans_whole_crop_silage</t>
  </si>
  <si>
    <t>Faba_beans,_hard_toasted</t>
  </si>
  <si>
    <t>Faba_beans,_soft_toasted</t>
  </si>
  <si>
    <t>Faba_beans,_whole_crop,_green</t>
  </si>
  <si>
    <t>Fermented_colostrum_(test)</t>
  </si>
  <si>
    <t>Fermenten_estimated_Church_and_Dwight_Inc</t>
  </si>
  <si>
    <t>Fermentgetreide</t>
  </si>
  <si>
    <t>Fiskemel,lav_NGP</t>
  </si>
  <si>
    <t>Flydende_mineral</t>
  </si>
  <si>
    <t>Fodder_beets,_16,5%_DM</t>
  </si>
  <si>
    <t>Fodder_beets,_18%_DM</t>
  </si>
  <si>
    <t>Fodder_beets,_20%_DM</t>
  </si>
  <si>
    <t>Fodder_salt</t>
  </si>
  <si>
    <t>GEL._Vario_Basis_M_AIO</t>
  </si>
  <si>
    <t>GEL._Vario_BasisM</t>
  </si>
  <si>
    <t>GEL._Vario_M</t>
  </si>
  <si>
    <t>GEL._Vario_M_-Plus</t>
  </si>
  <si>
    <t>GEL._Vario_M-Premium</t>
  </si>
  <si>
    <t>GELAMIN_Rupiol_Sunline</t>
  </si>
  <si>
    <t>Glycerol_(99%)</t>
  </si>
  <si>
    <t>GrÃ¦s_+_Ã¦rteensilage</t>
  </si>
  <si>
    <t>GrÃ¸nhÃ¸,_Standard</t>
  </si>
  <si>
    <t>Grain_silage,_mixed</t>
  </si>
  <si>
    <t>Grass_hay,_art._dried,_Extra</t>
  </si>
  <si>
    <t>Grass_hay,_art._dried,_Plus</t>
  </si>
  <si>
    <t>Grass_hay,_wrap</t>
  </si>
  <si>
    <t>Grass_pellets,_Extra</t>
  </si>
  <si>
    <t>Grass_pellets,_Plus</t>
  </si>
  <si>
    <t>Grass_pellets,_Standard</t>
  </si>
  <si>
    <t>Grass_pulp,_silage</t>
  </si>
  <si>
    <t>Grass_silage,_1st_cut</t>
  </si>
  <si>
    <t>Grass_silage,_2nd_cut</t>
  </si>
  <si>
    <t>Grass_silage,_3rd_cut</t>
  </si>
  <si>
    <t>Grass_silage,_4th_cut</t>
  </si>
  <si>
    <t>Grass_silage,_5th_cut</t>
  </si>
  <si>
    <t>Grass_silage,_high_OMD</t>
  </si>
  <si>
    <t>Grass_silage,_low_OMD</t>
  </si>
  <si>
    <t>Grass_silage,_medium_OMD</t>
  </si>
  <si>
    <t>Grass_silage,_very_low_OMD</t>
  </si>
  <si>
    <t>Grass,_12-15_cm</t>
  </si>
  <si>
    <t>Grass,_20-25_cm</t>
  </si>
  <si>
    <t>Grass,_6-8_cm</t>
  </si>
  <si>
    <t>Hempseed_(estimated)</t>
  </si>
  <si>
    <t>Hempseed_cake</t>
  </si>
  <si>
    <t>HvidklÃ¸ver_beg._blomst,_ensilage</t>
  </si>
  <si>
    <t>Italian_ryegrass_after_cereal_crop,_silage</t>
  </si>
  <si>
    <t>Italian_ryegrass_after_whole_crop,_silage</t>
  </si>
  <si>
    <t>Italian_ryegrass,_after_cereal_crop</t>
  </si>
  <si>
    <t>Italian_ryegrass,_after_whole_crop</t>
  </si>
  <si>
    <t>Italian_ryegrass,_spring_sown,_silage</t>
  </si>
  <si>
    <t>Italian_ryegrass,_spring,_early</t>
  </si>
  <si>
    <t>Italian_ryegrass,_spring,_late</t>
  </si>
  <si>
    <t>Italian_ryegrass,_spring,_mid</t>
  </si>
  <si>
    <t>Kalksteinsmel</t>
  </si>
  <si>
    <t>Kalve_15</t>
  </si>
  <si>
    <t>Kalve_17</t>
  </si>
  <si>
    <t>Kalve_Kombi_27</t>
  </si>
  <si>
    <t>Kalve_start_18,5</t>
  </si>
  <si>
    <t>Kalve_T</t>
  </si>
  <si>
    <t>Kemin_ML-20.1</t>
  </si>
  <si>
    <t>Kessent_M</t>
  </si>
  <si>
    <t>Kessent_MF,_dry</t>
  </si>
  <si>
    <t>Kessent_MF,_liquid</t>
  </si>
  <si>
    <t>KFL_Kraftfoderanalyse</t>
  </si>
  <si>
    <t>Kombi</t>
  </si>
  <si>
    <t>Koralalgekalk</t>
  </si>
  <si>
    <t>KvÃ¦g_Basis_Kridt</t>
  </si>
  <si>
    <t>KvÃ¦g_Basis_Mikro</t>
  </si>
  <si>
    <t>Lacto_204_VLOG,_Eilers</t>
  </si>
  <si>
    <t>LactoFit_Ferment_Deuka</t>
  </si>
  <si>
    <t>Lactose_powder</t>
  </si>
  <si>
    <t>Lakto_Bonus_C9282,_Agravis</t>
  </si>
  <si>
    <t>Lakto_M_Plus,_Agravis</t>
  </si>
  <si>
    <t>Lignobond_DD_(estimated_values)</t>
  </si>
  <si>
    <t>Limestone</t>
  </si>
  <si>
    <t>Linseed,_expeller</t>
  </si>
  <si>
    <t>Linseed,_extracted</t>
  </si>
  <si>
    <t>Lucerne_hay,_art._dried</t>
  </si>
  <si>
    <t>Lucerne_hay,_wrap</t>
  </si>
  <si>
    <t>Lucerne_pellets,_Extra</t>
  </si>
  <si>
    <t>Lucerne_pellets,_Standard</t>
  </si>
  <si>
    <t>Lucerne_silage,_1st_cut</t>
  </si>
  <si>
    <t>Lucerne_silage,_2nd_cut</t>
  </si>
  <si>
    <t>Lucerne_silage,_3rd_cut</t>
  </si>
  <si>
    <t>Lucerne_silage,_4th_cut</t>
  </si>
  <si>
    <t>Lucerne_silage,_high_OMD</t>
  </si>
  <si>
    <t>Lucerne_silage,_low_OMD</t>
  </si>
  <si>
    <t>Lucerne,_early_bloom</t>
  </si>
  <si>
    <t>Lucerne,_end_of_bloom</t>
  </si>
  <si>
    <t>Lucerne,_mid_bloom</t>
  </si>
  <si>
    <t>Lupin_whole_crop_silage</t>
  </si>
  <si>
    <t>Lupin,_whole_crop</t>
  </si>
  <si>
    <t>Lupins_blue,_hard_toasted_(narrow-leafed)</t>
  </si>
  <si>
    <t>Lupins_blue,_narrow-leafed</t>
  </si>
  <si>
    <t>Lupins_yellow_(estimated)</t>
  </si>
  <si>
    <t>LysiGEM</t>
  </si>
  <si>
    <t>LysiPEARL</t>
  </si>
  <si>
    <t>MÃ¦lkeerstatning,_51%_skummetmÃ¦lk_(test)</t>
  </si>
  <si>
    <t>MÃ¦lkeerstatning,_60%_skummetmÃ¦lk_(test)</t>
  </si>
  <si>
    <t>MÃ¦lkeerstatning,_vallebaseret_(test)</t>
  </si>
  <si>
    <t>MÃ¦lkeerstatning,_vallesojabaseret_(test)</t>
  </si>
  <si>
    <t>Magnesium_sulphate</t>
  </si>
  <si>
    <t>Magnesiumchlorid_DELETED_USE_018-0018</t>
  </si>
  <si>
    <t>Magnesiumchlorid_hexahydrate</t>
  </si>
  <si>
    <t>Magnesiumoxide</t>
  </si>
  <si>
    <t>Magnesiumphosphate</t>
  </si>
  <si>
    <t>Maize_+_beet,_silage</t>
  </si>
  <si>
    <t>Maize_cob_silage</t>
  </si>
  <si>
    <t>Maize_cob,_green</t>
  </si>
  <si>
    <t>Maize_feed_meal</t>
  </si>
  <si>
    <t>Maize_germ,_extracted</t>
  </si>
  <si>
    <t>Maize_gluten</t>
  </si>
  <si>
    <t>Maize_ground_1_mm</t>
  </si>
  <si>
    <t>Maize_rolled_4mm</t>
  </si>
  <si>
    <t>Maize_silage,_high_OMD</t>
  </si>
  <si>
    <t>Maize_silage,_low_OMD</t>
  </si>
  <si>
    <t>Maize_silage,_medium_OMD</t>
  </si>
  <si>
    <t>Maize_starch</t>
  </si>
  <si>
    <t>Maize_whole_crop,_green</t>
  </si>
  <si>
    <t>Maize,_crimped,_63,5%_DM</t>
  </si>
  <si>
    <t>MajsBasis</t>
  </si>
  <si>
    <t>Malt_residue_pellets</t>
  </si>
  <si>
    <t>Malt_sprouts</t>
  </si>
  <si>
    <t>Marrow-stem_kale_(fresh)</t>
  </si>
  <si>
    <t>Marrow-stem_kale_silage</t>
  </si>
  <si>
    <t>Maxammon_Gerste14XP_Rensing_Landservice_GmbH</t>
  </si>
  <si>
    <t>Maxammon_Roggen_13%XP_Rensing_Landservice_GmbH</t>
  </si>
  <si>
    <t>Maxammon_Weizen_167XP_Rensing_Landservice_GmbH</t>
  </si>
  <si>
    <t>Meadow_grass</t>
  </si>
  <si>
    <t>Meadow_grass,_permanent,_silage</t>
  </si>
  <si>
    <t>Mepron</t>
  </si>
  <si>
    <t>MetaSmart(R)_Dry</t>
  </si>
  <si>
    <t>MetaSmart(R)_Liquid</t>
  </si>
  <si>
    <t>Milkinal_21_-_Milkivit_DE</t>
  </si>
  <si>
    <t>Min_-_Urea_mix</t>
  </si>
  <si>
    <t>MK_184_Spezial_Deuka</t>
  </si>
  <si>
    <t>MLF_18/3_Pell_-_LBD_DE</t>
  </si>
  <si>
    <t>MLF_20/4_Mais_-_LBD_DE</t>
  </si>
  <si>
    <t>MLF_20/4_Pell_-_LBD_DE</t>
  </si>
  <si>
    <t>MLF_C_1356_pe_Agravis</t>
  </si>
  <si>
    <t>MLF_Milkmaster_100_-_LBD_DE</t>
  </si>
  <si>
    <t>MLF_Top_100_-_LBD_DE</t>
  </si>
  <si>
    <t>MLF_Top_200_-_LBD_DE</t>
  </si>
  <si>
    <t>Monoammonium_phosphate</t>
  </si>
  <si>
    <t>Monocalcium_phosphate</t>
  </si>
  <si>
    <t>Mono-sodium_phosphate</t>
  </si>
  <si>
    <t>Multiausgleich_-_Fleming_&amp;_Wendeln_DE</t>
  </si>
  <si>
    <t>Multiausgleich_Hasselhorn_-_Fleming_&amp;_Wendeln_DE</t>
  </si>
  <si>
    <t>Multilac_18/III_-_Fleming_&amp;_Wendeln_DE</t>
  </si>
  <si>
    <t>Multilac_Hasselhorn_-_Fleming_&amp;_Wendeln_DE</t>
  </si>
  <si>
    <t>Multilac_M_20_IV_-_Fleming_&amp;_Wendeln_DE</t>
  </si>
  <si>
    <t>Nitrate</t>
  </si>
  <si>
    <t>Non-GM_Soya_bean,_decorticated,_extrated</t>
  </si>
  <si>
    <t>NutriCab</t>
  </si>
  <si>
    <t>NutriCAB_(TM)_Kemin</t>
  </si>
  <si>
    <t>Oat_hulls</t>
  </si>
  <si>
    <t>Oat_whole_crop,_green</t>
  </si>
  <si>
    <t>Oats_+_peas_+_vetches_whole_crop_silage</t>
  </si>
  <si>
    <t>Oats_2020</t>
  </si>
  <si>
    <t>Oats,_decorticated</t>
  </si>
  <si>
    <t>Oats,_whole_crop_silage,_dough</t>
  </si>
  <si>
    <t>Onion_peel_estimated</t>
  </si>
  <si>
    <t>Other_feeds_with_urea,_incomplete</t>
  </si>
  <si>
    <t>Other_feeds,_incomplete</t>
  </si>
  <si>
    <t>Palmkernel_cake</t>
  </si>
  <si>
    <t>Palmkernel,_extracted</t>
  </si>
  <si>
    <t>PANTO-Mineral__R_61</t>
  </si>
  <si>
    <t>Pea_whole_crop</t>
  </si>
  <si>
    <t>Pea_whole_crop_silage</t>
  </si>
  <si>
    <t>Pea_whole_crop,_green</t>
  </si>
  <si>
    <t>Pectin_residues</t>
  </si>
  <si>
    <t>pHix-up,_TIMAB</t>
  </si>
  <si>
    <t>Potassium_Sorbate</t>
  </si>
  <si>
    <t>Potato_protein_concentrate</t>
  </si>
  <si>
    <t>Potato_pulp</t>
  </si>
  <si>
    <t>Potatoes</t>
  </si>
  <si>
    <t>Premium_Lac,_Raiffeisens_Ems-Vechte</t>
  </si>
  <si>
    <t>Propionic_acid</t>
  </si>
  <si>
    <t>Propylenglycol</t>
  </si>
  <si>
    <t>Pumpkin_seed_cake_(estimated)</t>
  </si>
  <si>
    <t>RaPass_meal</t>
  </si>
  <si>
    <t>Rape_seed_oil</t>
  </si>
  <si>
    <t>Rape_seed,_00</t>
  </si>
  <si>
    <t>Rape_silage</t>
  </si>
  <si>
    <t>Rapeseed_expeller,_00,_10%_fat</t>
  </si>
  <si>
    <t>Rapeseed_expeller,_00,_13%_fat</t>
  </si>
  <si>
    <t>Rapeseed_expeller,_00,_20%_fat,_cold_pressed</t>
  </si>
  <si>
    <t>Rapeseed_meal,_extracted</t>
  </si>
  <si>
    <t>Rapskage_Ã¸ko_11,5%_fedt,_nogen_varmebeh.</t>
  </si>
  <si>
    <t>Rapskage_Ã¸ko_13,5%_fedt,_koldpresset</t>
  </si>
  <si>
    <t>Rapsol_rapskage_koldpresset_12%_fedt</t>
  </si>
  <si>
    <t>Red_clover,_green</t>
  </si>
  <si>
    <t>Redclover,_early_bloom,_silage</t>
  </si>
  <si>
    <t>Reed_canarygrass</t>
  </si>
  <si>
    <t>Rinderstoltz_8373_-_Salvana_DE</t>
  </si>
  <si>
    <t>Rinderstoltz_8510_-_Salvana_DE</t>
  </si>
  <si>
    <t>Robot_17</t>
  </si>
  <si>
    <t>Robot_19</t>
  </si>
  <si>
    <t>Rye_2020</t>
  </si>
  <si>
    <t>Rye_2020,_NaOH_treated_(estimated)</t>
  </si>
  <si>
    <t>Rye_whole_crop_silage,_boot</t>
  </si>
  <si>
    <t>Rye,_1,5%_urea,_80%_DM</t>
  </si>
  <si>
    <t>Rye,_NaOH_treated_(estimated)</t>
  </si>
  <si>
    <t>Saturated_fat,_fatty_acids</t>
  </si>
  <si>
    <t>Saturated_fat,_triglycerid</t>
  </si>
  <si>
    <t>Scanola_HDL_Profil_rapskage,_14%_fedt</t>
  </si>
  <si>
    <t>Scanola_rapskagefoder_10_%_fedt</t>
  </si>
  <si>
    <t>SilvAir</t>
  </si>
  <si>
    <t>Skim_milk_powder_(test)</t>
  </si>
  <si>
    <t>Smartamine_M</t>
  </si>
  <si>
    <t>Sodiium_bicarbonate</t>
  </si>
  <si>
    <t>Sodium_benzoate</t>
  </si>
  <si>
    <t>Sodium_hydroxide</t>
  </si>
  <si>
    <t>Sodium_sulphate_anhydrous</t>
  </si>
  <si>
    <t>Sorghum</t>
  </si>
  <si>
    <t>Sorghum_forage_dough_stage</t>
  </si>
  <si>
    <t>Sorghum_forage_early_heading</t>
  </si>
  <si>
    <t>Sorghum_forage_milk_stage</t>
  </si>
  <si>
    <t>Soy_Pass</t>
  </si>
  <si>
    <t>Soy_protein_AK530</t>
  </si>
  <si>
    <t>Soya_bean_hulls</t>
  </si>
  <si>
    <t>Soya_bean,_decorticated,_extrated</t>
  </si>
  <si>
    <t>Soya_bean,_expeller</t>
  </si>
  <si>
    <t>Soya_bean,_extracted</t>
  </si>
  <si>
    <t>Soya_beans</t>
  </si>
  <si>
    <t>Soya_beans,_Toasted</t>
  </si>
  <si>
    <t>Soya_oil</t>
  </si>
  <si>
    <t>Soybean_meal,_non-GM,_Denofa</t>
  </si>
  <si>
    <t>Soybean_solubles</t>
  </si>
  <si>
    <t>Soybean_solubles/_cane_molasses_50/50</t>
  </si>
  <si>
    <t>Spring_barley</t>
  </si>
  <si>
    <t>Spring_barley_2020</t>
  </si>
  <si>
    <t>Straw,_barley,_NaOH-treated</t>
  </si>
  <si>
    <t>Straw,_barley,_NH3-treated,_high_OMD</t>
  </si>
  <si>
    <t>Straw,_barley,_NH3-treated,_low_OMD</t>
  </si>
  <si>
    <t>Straw,_bean</t>
  </si>
  <si>
    <t>Straw,_oat</t>
  </si>
  <si>
    <t>Straw,_oat,_NH3-treated</t>
  </si>
  <si>
    <t>Straw,_pea</t>
  </si>
  <si>
    <t>Straw,_perennial_rye_grass</t>
  </si>
  <si>
    <t>Straw,_rape</t>
  </si>
  <si>
    <t>Straw,_red_fescue</t>
  </si>
  <si>
    <t>Straw,_rye</t>
  </si>
  <si>
    <t>Straw,_rye,_NH3-treated</t>
  </si>
  <si>
    <t>Straw,_spring_barley</t>
  </si>
  <si>
    <t>Straw,_white_clover</t>
  </si>
  <si>
    <t>Straw,_winter_barley</t>
  </si>
  <si>
    <t>Straw,_winter_wheat</t>
  </si>
  <si>
    <t>Straw,_winter_wheat,_NH3-treated</t>
  </si>
  <si>
    <t>Sugar_beets</t>
  </si>
  <si>
    <t>Sun_flower_expeller,_partially_decorticated</t>
  </si>
  <si>
    <t>Sun_flower_meal,_25%_NDF</t>
  </si>
  <si>
    <t>Sun_flower_meal,_30%_NDF</t>
  </si>
  <si>
    <t>Sun_flower,_expeller,_undecorticated</t>
  </si>
  <si>
    <t>Sun_Sikker_(Sun_flower_meal)</t>
  </si>
  <si>
    <t>Sunflower_seed</t>
  </si>
  <si>
    <t>TR_0/2_ADE_Plus_-_Vilofoss_DE</t>
  </si>
  <si>
    <t>Triticale_DK_2020</t>
  </si>
  <si>
    <t>Triticale_whole_crop_silage,_dough</t>
  </si>
  <si>
    <t>TS-Komplett_TAP-Bramsche</t>
  </si>
  <si>
    <t>TS-Mineral_SUN_ATP_Bramsche</t>
  </si>
  <si>
    <t>TS-Mineral_TAP-Bramsche</t>
  </si>
  <si>
    <t>Type_0,_granuleret</t>
  </si>
  <si>
    <t>Type_1,_granuleret</t>
  </si>
  <si>
    <t>Type_2,_granuleret</t>
  </si>
  <si>
    <t>Type_3,_granuleret</t>
  </si>
  <si>
    <t>Type_3,_pelleteret</t>
  </si>
  <si>
    <t>Type_G,_granuleret</t>
  </si>
  <si>
    <t>Type_U,_granuleret</t>
  </si>
  <si>
    <t>Urea</t>
  </si>
  <si>
    <t>Vegetable_fat</t>
  </si>
  <si>
    <t>Vetch_seed_estimated</t>
  </si>
  <si>
    <t>Vinasse</t>
  </si>
  <si>
    <t>Vit_Euter_Pro_-_DE</t>
  </si>
  <si>
    <t>Water</t>
  </si>
  <si>
    <t>WeiPass</t>
  </si>
  <si>
    <t>Wheat_2020</t>
  </si>
  <si>
    <t>Wheat_bran</t>
  </si>
  <si>
    <t>Wheat_DK_2020,_NaOH_treated,_65%_DM</t>
  </si>
  <si>
    <t>Wheat_DK_2020,_NaOH_treated,_75%_DM</t>
  </si>
  <si>
    <t>Wheat_gluten</t>
  </si>
  <si>
    <t>Wheat_pea_whole_crop_silage,_dough,_50%_peas</t>
  </si>
  <si>
    <t>Wheat_whole_crop,_green</t>
  </si>
  <si>
    <t>Wheat,_1,5%_urea,_80%_DM</t>
  </si>
  <si>
    <t>Wheat,_NaOH_treated,_65%_DM</t>
  </si>
  <si>
    <t>Wheat,_NaOH_treated,_75%_DM</t>
  </si>
  <si>
    <t>Wheat,_whole_crop_sil.,_dough,_high_DOM</t>
  </si>
  <si>
    <t>Wheat,_whole_crop_sil.,_dough,_low_DOM</t>
  </si>
  <si>
    <t>Whey</t>
  </si>
  <si>
    <t>White_clover,_green</t>
  </si>
  <si>
    <t>Whole_crop_barley_silage,_boot_stage</t>
  </si>
  <si>
    <t>Whole_crop_barley,_boot_stage</t>
  </si>
  <si>
    <t>Whole_crop_wheat_+_grass,_silage</t>
  </si>
  <si>
    <t>Whole_crop_wheat,_silage</t>
  </si>
  <si>
    <t>Whole_milk,_Jersey_(test)</t>
  </si>
  <si>
    <t>Whole_milk,_large_breed_(test)</t>
  </si>
  <si>
    <t>Winter_barley</t>
  </si>
  <si>
    <t>Winter_barley_2020</t>
  </si>
  <si>
    <t>Winter_barley_whole_crop_silage,_dough</t>
  </si>
  <si>
    <t>Winter_rye_whole_crop,_green</t>
  </si>
  <si>
    <t>Status</t>
  </si>
  <si>
    <t>Sections</t>
  </si>
  <si>
    <t>Storages</t>
  </si>
  <si>
    <r>
      <t>water spill, kg animal</t>
    </r>
    <r>
      <rPr>
        <vertAlign val="superscript"/>
        <sz val="11"/>
        <color theme="1"/>
        <rFont val="Arial"/>
        <family val="2"/>
      </rPr>
      <t>-1</t>
    </r>
  </si>
  <si>
    <t>beet_pulp,_dried</t>
  </si>
  <si>
    <t>distillers_dried_grains,_based_wheat__other_</t>
  </si>
  <si>
    <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</si>
</sst>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Calibri"/>
      <family val="2"/>
      <scheme val="minor"/>
    </font>
    <font>
      <sz val="11"/>
      <color theme="1"/>
      <name val="Arial"/>
      <family val="2"/>
    </font>
    <font>
      <sz val="11"/>
      <color theme="4"/>
      <name val="Arial"/>
      <family val="2"/>
    </font>
    <font>
      <b/>
      <i/>
      <sz val="11"/>
      <color theme="1"/>
      <name val="Arial"/>
      <family val="2"/>
    </font>
    <font>
      <sz val="11"/>
      <color rgb="FFFF0000"/>
      <name val="Arial"/>
      <family val="2"/>
    </font>
    <font>
      <b/>
      <sz val="11"/>
      <color theme="1"/>
      <name val="Arial"/>
      <family val="2"/>
    </font>
    <font>
      <sz val="11"/>
      <color rgb="FFC00000"/>
      <name val="Arial"/>
      <family val="2"/>
    </font>
    <font>
      <sz val="9"/>
      <color theme="1"/>
      <name val="Arial"/>
      <family val="2"/>
    </font>
    <font>
      <vertAlign val="superscript"/>
      <sz val="11"/>
      <color theme="1"/>
      <name val="Arial"/>
      <family val="2"/>
    </font>
    <font>
      <strike/>
      <sz val="11"/>
      <color theme="2" tint="-0.249977111117893"/>
      <name val="Arial"/>
      <family val="2"/>
    </font>
    <font>
      <b/>
      <i/>
      <vertAlign val="superscript"/>
      <sz val="11"/>
      <color theme="1"/>
      <name val="Arial"/>
      <family val="2"/>
    </font>
    <font>
      <sz val="10"/>
      <name val="MS Sans Serif"/>
      <family val="2"/>
    </font>
    <font>
      <b/>
      <sz val="11"/>
      <color theme="1"/>
      <name val="Calibri"/>
      <family val="2"/>
      <scheme val="minor"/>
    </font>
  </fonts>
  <fills count="5">
    <fill>
      <patternFill patternType="none"/>
    </fill>
    <fill>
      <patternFill patternType="gray125"/>
    </fill>
    <fill>
      <patternFill patternType="solid">
        <fgColor theme="2" tint="-9.9978637043366805E-2"/>
        <bgColor indexed="64"/>
      </patternFill>
    </fill>
    <fill>
      <patternFill patternType="solid">
        <fgColor rgb="FFBFBFBF"/>
        <bgColor indexed="64"/>
      </patternFill>
    </fill>
    <fill>
      <patternFill patternType="solid">
        <fgColor theme="0"/>
        <bgColor indexed="64"/>
      </patternFill>
    </fill>
  </fills>
  <borders count="5">
    <border>
      <left/>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11" fillId="0" borderId="0"/>
  </cellStyleXfs>
  <cellXfs count="75">
    <xf numFmtId="0" fontId="0" fillId="0" borderId="0" xfId="0"/>
    <xf numFmtId="164" fontId="1" fillId="0" borderId="0" xfId="0" applyNumberFormat="1" applyFont="1"/>
    <xf numFmtId="1" fontId="1" fillId="0" borderId="0" xfId="0" applyNumberFormat="1" applyFont="1"/>
    <xf numFmtId="1" fontId="3" fillId="0" borderId="0" xfId="0" applyNumberFormat="1" applyFont="1"/>
    <xf numFmtId="0" fontId="1" fillId="0" borderId="0" xfId="0" applyFont="1" applyAlignment="1">
      <alignment horizontal="right"/>
    </xf>
    <xf numFmtId="2" fontId="2" fillId="0" borderId="0" xfId="0" applyNumberFormat="1" applyFont="1"/>
    <xf numFmtId="164" fontId="2" fillId="0" borderId="0" xfId="0" applyNumberFormat="1" applyFont="1"/>
    <xf numFmtId="0" fontId="1" fillId="0" borderId="0" xfId="0" applyFont="1" applyAlignment="1">
      <alignment horizontal="left"/>
    </xf>
    <xf numFmtId="0" fontId="5" fillId="0" borderId="0" xfId="0" applyFont="1"/>
    <xf numFmtId="0" fontId="1" fillId="0" borderId="0" xfId="0" applyFont="1"/>
    <xf numFmtId="0" fontId="1" fillId="2" borderId="0" xfId="0" applyFont="1" applyFill="1"/>
    <xf numFmtId="1" fontId="1" fillId="2" borderId="0" xfId="0" applyNumberFormat="1" applyFont="1" applyFill="1"/>
    <xf numFmtId="2" fontId="1" fillId="2" borderId="0" xfId="0" applyNumberFormat="1" applyFont="1" applyFill="1"/>
    <xf numFmtId="2" fontId="1" fillId="0" borderId="0" xfId="0" applyNumberFormat="1" applyFont="1"/>
    <xf numFmtId="0" fontId="1" fillId="0" borderId="0" xfId="0" applyFont="1" applyAlignment="1">
      <alignment horizontal="center"/>
    </xf>
    <xf numFmtId="0" fontId="1" fillId="0" borderId="0" xfId="0" applyFont="1" applyAlignment="1">
      <alignment horizontal="center" vertical="center"/>
    </xf>
    <xf numFmtId="2" fontId="1" fillId="0" borderId="0" xfId="0" applyNumberFormat="1" applyFont="1" applyAlignment="1">
      <alignment horizontal="center" vertical="center"/>
    </xf>
    <xf numFmtId="2" fontId="1" fillId="0" borderId="0" xfId="0" applyNumberFormat="1" applyFont="1" applyAlignment="1" applyProtection="1">
      <alignment horizontal="center" vertical="center"/>
      <protection locked="0"/>
    </xf>
    <xf numFmtId="2" fontId="1" fillId="0" borderId="0" xfId="0" applyNumberFormat="1" applyFont="1" applyProtection="1">
      <protection locked="0"/>
    </xf>
    <xf numFmtId="0" fontId="1" fillId="0" borderId="0" xfId="0" applyFont="1" applyAlignment="1" applyProtection="1">
      <alignment horizontal="center" vertical="center"/>
      <protection locked="0"/>
    </xf>
    <xf numFmtId="2" fontId="3" fillId="0" borderId="0" xfId="0" applyNumberFormat="1" applyFont="1"/>
    <xf numFmtId="0" fontId="1" fillId="2" borderId="0" xfId="0" applyFont="1" applyFill="1" applyAlignment="1">
      <alignment horizontal="center" vertical="center"/>
    </xf>
    <xf numFmtId="1"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0" fontId="3" fillId="2" borderId="0" xfId="0" applyFont="1" applyFill="1"/>
    <xf numFmtId="0" fontId="1" fillId="2" borderId="0" xfId="0" applyFont="1" applyFill="1" applyAlignment="1">
      <alignment horizontal="center"/>
    </xf>
    <xf numFmtId="2" fontId="3" fillId="2" borderId="0" xfId="0" applyNumberFormat="1" applyFont="1" applyFill="1"/>
    <xf numFmtId="49" fontId="1" fillId="2" borderId="0" xfId="0" applyNumberFormat="1" applyFont="1" applyFill="1"/>
    <xf numFmtId="1" fontId="1" fillId="0" borderId="0" xfId="0" applyNumberFormat="1" applyFont="1" applyAlignment="1">
      <alignment horizontal="center" vertical="center"/>
    </xf>
    <xf numFmtId="49" fontId="1" fillId="0" borderId="0" xfId="0" applyNumberFormat="1" applyFont="1"/>
    <xf numFmtId="0" fontId="7" fillId="0" borderId="0" xfId="0" applyFont="1"/>
    <xf numFmtId="0" fontId="5" fillId="0" borderId="0" xfId="0" applyFont="1" applyAlignment="1">
      <alignment horizontal="center"/>
    </xf>
    <xf numFmtId="0" fontId="9" fillId="0" borderId="0" xfId="0" applyFont="1" applyAlignment="1">
      <alignment horizontal="center" vertical="center"/>
    </xf>
    <xf numFmtId="164" fontId="1" fillId="2" borderId="0" xfId="0" applyNumberFormat="1" applyFont="1" applyFill="1" applyAlignment="1">
      <alignment horizontal="center" vertical="center"/>
    </xf>
    <xf numFmtId="0" fontId="1" fillId="2" borderId="0" xfId="0" applyFont="1" applyFill="1" applyAlignment="1" applyProtection="1">
      <alignment horizontal="center" vertical="center"/>
      <protection locked="0"/>
    </xf>
    <xf numFmtId="0" fontId="1" fillId="2" borderId="0" xfId="0" applyFont="1" applyFill="1" applyProtection="1">
      <protection locked="0"/>
    </xf>
    <xf numFmtId="0" fontId="1" fillId="2" borderId="0" xfId="0" applyFont="1" applyFill="1" applyAlignment="1" applyProtection="1">
      <alignment horizontal="center"/>
      <protection locked="0"/>
    </xf>
    <xf numFmtId="2" fontId="1" fillId="2" borderId="0" xfId="0" applyNumberFormat="1" applyFont="1" applyFill="1" applyAlignment="1" applyProtection="1">
      <alignment horizontal="center" vertical="center"/>
      <protection locked="0"/>
    </xf>
    <xf numFmtId="164" fontId="1" fillId="2" borderId="0" xfId="0" applyNumberFormat="1" applyFont="1" applyFill="1" applyAlignment="1" applyProtection="1">
      <alignment horizontal="center"/>
      <protection locked="0"/>
    </xf>
    <xf numFmtId="2" fontId="3" fillId="0" borderId="1" xfId="0" applyNumberFormat="1" applyFont="1" applyBorder="1"/>
    <xf numFmtId="0" fontId="0" fillId="0" borderId="0" xfId="0" applyAlignment="1">
      <alignment horizontal="right"/>
    </xf>
    <xf numFmtId="0" fontId="12" fillId="0" borderId="0" xfId="0" applyFont="1"/>
    <xf numFmtId="0" fontId="1" fillId="3" borderId="0" xfId="0" applyFont="1" applyFill="1"/>
    <xf numFmtId="0" fontId="1" fillId="3" borderId="0" xfId="0" applyFont="1" applyFill="1" applyAlignment="1">
      <alignment horizontal="right"/>
    </xf>
    <xf numFmtId="0" fontId="0" fillId="3" borderId="0" xfId="0" applyFill="1"/>
    <xf numFmtId="1" fontId="1" fillId="3" borderId="0" xfId="0" applyNumberFormat="1" applyFont="1" applyFill="1" applyAlignment="1">
      <alignment horizontal="right"/>
    </xf>
    <xf numFmtId="2" fontId="1" fillId="3" borderId="0" xfId="0" applyNumberFormat="1" applyFont="1" applyFill="1" applyAlignment="1" applyProtection="1">
      <alignment horizontal="right" vertical="center"/>
      <protection locked="0"/>
    </xf>
    <xf numFmtId="2" fontId="1" fillId="3" borderId="0" xfId="0" applyNumberFormat="1" applyFont="1" applyFill="1" applyAlignment="1">
      <alignment horizontal="right"/>
    </xf>
    <xf numFmtId="1" fontId="1" fillId="3" borderId="0" xfId="0" applyNumberFormat="1" applyFont="1" applyFill="1"/>
    <xf numFmtId="2" fontId="1" fillId="3" borderId="0" xfId="0" applyNumberFormat="1" applyFont="1" applyFill="1"/>
    <xf numFmtId="1" fontId="2" fillId="3" borderId="0" xfId="0" applyNumberFormat="1" applyFont="1" applyFill="1" applyAlignment="1" applyProtection="1">
      <alignment horizontal="right" vertical="center"/>
      <protection locked="0"/>
    </xf>
    <xf numFmtId="1" fontId="2" fillId="3" borderId="0" xfId="0" applyNumberFormat="1" applyFont="1" applyFill="1" applyAlignment="1">
      <alignment horizontal="right"/>
    </xf>
    <xf numFmtId="164" fontId="1" fillId="3" borderId="0" xfId="0" applyNumberFormat="1" applyFont="1" applyFill="1"/>
    <xf numFmtId="1" fontId="1" fillId="3" borderId="0" xfId="0" applyNumberFormat="1" applyFont="1" applyFill="1" applyAlignment="1" applyProtection="1">
      <alignment horizontal="right" vertical="center"/>
      <protection locked="0"/>
    </xf>
    <xf numFmtId="2" fontId="2" fillId="3" borderId="0" xfId="0" applyNumberFormat="1" applyFont="1" applyFill="1"/>
    <xf numFmtId="0" fontId="4" fillId="3" borderId="0" xfId="0" applyFont="1" applyFill="1"/>
    <xf numFmtId="0" fontId="3" fillId="0" borderId="0" xfId="0" applyFont="1"/>
    <xf numFmtId="0" fontId="6" fillId="2" borderId="0" xfId="0" applyFont="1" applyFill="1" applyAlignment="1">
      <alignment horizontal="center" vertical="center"/>
    </xf>
    <xf numFmtId="0" fontId="6" fillId="2" borderId="0" xfId="0" applyFont="1" applyFill="1" applyAlignment="1">
      <alignment horizontal="center"/>
    </xf>
    <xf numFmtId="0" fontId="1" fillId="4" borderId="2" xfId="0" applyFont="1" applyFill="1" applyBorder="1" applyAlignment="1" applyProtection="1">
      <alignment horizontal="center" vertical="center"/>
      <protection locked="0"/>
    </xf>
    <xf numFmtId="0" fontId="1" fillId="4" borderId="3" xfId="0" applyFont="1" applyFill="1" applyBorder="1" applyAlignment="1" applyProtection="1">
      <alignment horizontal="center" vertical="center"/>
      <protection locked="0"/>
    </xf>
    <xf numFmtId="0" fontId="1" fillId="4" borderId="4" xfId="0" applyFont="1" applyFill="1" applyBorder="1" applyAlignment="1" applyProtection="1">
      <alignment horizontal="center" vertical="center"/>
      <protection locked="0"/>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0" fontId="9" fillId="4" borderId="4" xfId="0" applyFont="1" applyFill="1" applyBorder="1" applyAlignment="1">
      <alignment horizontal="center" vertical="center"/>
    </xf>
    <xf numFmtId="1" fontId="9" fillId="4" borderId="2" xfId="0" applyNumberFormat="1" applyFont="1" applyFill="1" applyBorder="1" applyAlignment="1">
      <alignment horizontal="center" vertical="center"/>
    </xf>
    <xf numFmtId="0" fontId="1" fillId="4" borderId="2" xfId="0" applyFont="1" applyFill="1" applyBorder="1" applyAlignment="1">
      <alignment horizontal="center"/>
    </xf>
    <xf numFmtId="0" fontId="0" fillId="0" borderId="0" xfId="0" applyAlignment="1">
      <alignment vertical="top"/>
    </xf>
    <xf numFmtId="0" fontId="1" fillId="4" borderId="4" xfId="0" applyFont="1" applyFill="1" applyBorder="1" applyAlignment="1">
      <alignment horizontal="center" vertical="center"/>
    </xf>
    <xf numFmtId="0" fontId="5" fillId="4" borderId="2" xfId="0" applyFont="1" applyFill="1" applyBorder="1" applyAlignment="1">
      <alignment horizontal="center"/>
    </xf>
    <xf numFmtId="0" fontId="0" fillId="4" borderId="4" xfId="0" applyFill="1" applyBorder="1" applyAlignment="1">
      <alignment horizontal="center"/>
    </xf>
    <xf numFmtId="0" fontId="1" fillId="2" borderId="0" xfId="0" applyFont="1" applyFill="1" applyAlignment="1" applyProtection="1">
      <alignment horizontal="left"/>
      <protection locked="0"/>
    </xf>
    <xf numFmtId="2" fontId="1" fillId="2" borderId="0" xfId="0" applyNumberFormat="1" applyFont="1" applyFill="1" applyProtection="1">
      <protection locked="0"/>
    </xf>
    <xf numFmtId="164" fontId="6" fillId="2" borderId="0" xfId="0" applyNumberFormat="1" applyFont="1" applyFill="1" applyAlignment="1">
      <alignment horizontal="center"/>
    </xf>
    <xf numFmtId="0" fontId="1" fillId="0" borderId="0" xfId="0" applyFont="1" applyAlignment="1">
      <alignment horizontal="center"/>
    </xf>
  </cellXfs>
  <cellStyles count="2">
    <cellStyle name="Normal" xfId="0" builtinId="0"/>
    <cellStyle name="Normal 2" xfId="1" xr:uid="{00000000-0005-0000-0000-000001000000}"/>
  </cellStyles>
  <dxfs count="177">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s>
  <tableStyles count="0" defaultTableStyle="TableStyleMedium2" defaultPivotStyle="PivotStyleLight16"/>
  <colors>
    <mruColors>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dimension ref="A1:AS302"/>
  <sheetViews>
    <sheetView showGridLines="0" topLeftCell="A75" zoomScale="55" zoomScaleNormal="55" workbookViewId="0">
      <selection activeCell="H110" sqref="H110"/>
    </sheetView>
  </sheetViews>
  <sheetFormatPr defaultColWidth="11.5703125" defaultRowHeight="15" x14ac:dyDescent="0.25"/>
  <cols>
    <col min="1" max="1" width="46.28515625" customWidth="1"/>
    <col min="2" max="2" width="36.42578125" bestFit="1" customWidth="1"/>
    <col min="3" max="3" width="37.7109375" bestFit="1" customWidth="1"/>
    <col min="4" max="6" width="37.140625" customWidth="1"/>
    <col min="7" max="7" width="41.5703125" bestFit="1" customWidth="1"/>
    <col min="8" max="8" width="51.7109375" bestFit="1" customWidth="1"/>
    <col min="9" max="9" width="34.140625" customWidth="1"/>
    <col min="10" max="10" width="45.7109375" bestFit="1" customWidth="1"/>
    <col min="11" max="11" width="47.7109375" bestFit="1" customWidth="1"/>
    <col min="12" max="12" width="34.42578125" bestFit="1" customWidth="1"/>
    <col min="13" max="13" width="39.42578125" customWidth="1"/>
    <col min="14" max="14" width="44.85546875" bestFit="1" customWidth="1"/>
    <col min="15" max="15" width="36" bestFit="1" customWidth="1"/>
    <col min="16" max="16" width="38.5703125" bestFit="1" customWidth="1"/>
    <col min="17" max="17" width="19.42578125" bestFit="1" customWidth="1"/>
    <col min="18" max="18" width="33.85546875" bestFit="1" customWidth="1"/>
    <col min="19" max="19" width="32" bestFit="1" customWidth="1"/>
    <col min="20" max="20" width="37.140625" bestFit="1" customWidth="1"/>
    <col min="21" max="21" width="34.140625" bestFit="1" customWidth="1"/>
    <col min="22" max="22" width="26.7109375" customWidth="1"/>
    <col min="23" max="23" width="26.85546875" bestFit="1" customWidth="1"/>
    <col min="24" max="24" width="28" bestFit="1" customWidth="1"/>
    <col min="25" max="25" width="26.5703125" bestFit="1" customWidth="1"/>
    <col min="26" max="26" width="32.42578125" customWidth="1"/>
    <col min="27" max="27" width="26.42578125" customWidth="1"/>
    <col min="28" max="28" width="24.85546875" customWidth="1"/>
    <col min="29" max="29" width="27.28515625" customWidth="1"/>
    <col min="30" max="30" width="24.42578125" customWidth="1"/>
    <col min="31" max="31" width="25" customWidth="1"/>
    <col min="32" max="32" width="27.5703125" customWidth="1"/>
    <col min="33" max="33" width="25" customWidth="1"/>
    <col min="34" max="34" width="38.7109375" customWidth="1"/>
  </cols>
  <sheetData>
    <row r="1" spans="1:40" x14ac:dyDescent="0.25">
      <c r="A1" s="56" t="s">
        <v>0</v>
      </c>
      <c r="B1" s="9" t="s">
        <v>1</v>
      </c>
      <c r="C1" s="9" t="s">
        <v>2</v>
      </c>
      <c r="D1" s="9" t="s">
        <v>3</v>
      </c>
      <c r="E1" s="9" t="s">
        <v>4</v>
      </c>
      <c r="F1" s="9"/>
      <c r="G1" s="9"/>
      <c r="H1" s="9"/>
      <c r="I1" s="9"/>
      <c r="J1" s="9"/>
      <c r="K1" s="9"/>
      <c r="L1" s="9"/>
      <c r="M1" s="9"/>
      <c r="N1" s="9"/>
      <c r="O1" s="9"/>
      <c r="P1" s="9"/>
      <c r="Q1" s="9"/>
      <c r="R1" s="9"/>
      <c r="S1" s="9"/>
      <c r="T1" s="9"/>
      <c r="U1" s="9"/>
      <c r="V1" s="9"/>
      <c r="W1" s="9"/>
    </row>
    <row r="2" spans="1:40" x14ac:dyDescent="0.25">
      <c r="A2" s="9" t="s">
        <v>5</v>
      </c>
      <c r="B2" s="42">
        <v>5</v>
      </c>
      <c r="C2" s="42">
        <v>0.1</v>
      </c>
      <c r="D2" s="42">
        <v>1</v>
      </c>
      <c r="E2" s="42">
        <v>0.1</v>
      </c>
      <c r="F2" s="9"/>
      <c r="G2" s="9"/>
      <c r="H2" s="9"/>
      <c r="I2" s="9"/>
      <c r="J2" s="9"/>
      <c r="K2" s="9"/>
      <c r="L2" s="9"/>
      <c r="M2" s="9"/>
      <c r="N2" s="9"/>
      <c r="O2" s="9"/>
      <c r="P2" s="9"/>
      <c r="Q2" s="9"/>
      <c r="R2" s="9"/>
      <c r="S2" s="9"/>
      <c r="T2" s="9"/>
      <c r="U2" s="9"/>
      <c r="V2" s="9"/>
      <c r="W2" s="9"/>
    </row>
    <row r="3" spans="1:40" x14ac:dyDescent="0.25">
      <c r="A3" s="9" t="s">
        <v>6</v>
      </c>
      <c r="B3" s="42">
        <v>29</v>
      </c>
      <c r="C3" s="42">
        <v>2.5</v>
      </c>
      <c r="D3" s="42">
        <v>1</v>
      </c>
      <c r="E3" s="42">
        <v>3.5</v>
      </c>
      <c r="F3" s="9"/>
      <c r="G3" s="9"/>
      <c r="H3" s="9"/>
      <c r="I3" s="9"/>
      <c r="J3" s="9"/>
      <c r="K3" s="9"/>
      <c r="L3" s="9"/>
      <c r="M3" s="9"/>
      <c r="N3" s="9"/>
      <c r="O3" s="9"/>
      <c r="P3" s="9"/>
      <c r="Q3" s="9"/>
      <c r="R3" s="9"/>
      <c r="S3" s="9"/>
      <c r="T3" s="9"/>
      <c r="U3" s="9"/>
      <c r="V3" s="9"/>
    </row>
    <row r="4" spans="1:40" x14ac:dyDescent="0.25">
      <c r="A4" s="9"/>
    </row>
    <row r="5" spans="1:40" x14ac:dyDescent="0.25">
      <c r="A5" s="3" t="s">
        <v>7</v>
      </c>
      <c r="B5" s="9" t="s">
        <v>8</v>
      </c>
      <c r="C5" s="9" t="s">
        <v>9</v>
      </c>
      <c r="D5" s="9" t="s">
        <v>10</v>
      </c>
      <c r="E5" s="9" t="s">
        <v>11</v>
      </c>
      <c r="F5" s="9" t="s">
        <v>12</v>
      </c>
      <c r="G5" s="9" t="s">
        <v>13</v>
      </c>
      <c r="H5" s="9" t="s">
        <v>14</v>
      </c>
      <c r="I5" s="9" t="s">
        <v>15</v>
      </c>
      <c r="J5" s="9" t="s">
        <v>16</v>
      </c>
      <c r="K5" s="9" t="s">
        <v>17</v>
      </c>
      <c r="L5" s="9" t="s">
        <v>18</v>
      </c>
      <c r="M5" s="9" t="s">
        <v>19</v>
      </c>
      <c r="N5" s="9" t="s">
        <v>20</v>
      </c>
      <c r="O5" s="9" t="s">
        <v>21</v>
      </c>
      <c r="P5" s="9" t="s">
        <v>22</v>
      </c>
      <c r="Q5" s="9" t="s">
        <v>23</v>
      </c>
      <c r="R5" s="9" t="s">
        <v>24</v>
      </c>
      <c r="S5" s="9" t="s">
        <v>25</v>
      </c>
      <c r="T5" s="9" t="s">
        <v>26</v>
      </c>
      <c r="U5" s="9" t="s">
        <v>27</v>
      </c>
      <c r="V5" s="9" t="s">
        <v>28</v>
      </c>
      <c r="W5" t="s">
        <v>29</v>
      </c>
      <c r="X5" t="s">
        <v>30</v>
      </c>
      <c r="Y5" t="s">
        <v>31</v>
      </c>
      <c r="Z5" t="s">
        <v>32</v>
      </c>
      <c r="AA5" t="s">
        <v>33</v>
      </c>
      <c r="AB5" t="s">
        <v>34</v>
      </c>
      <c r="AC5" s="9"/>
      <c r="AD5" s="9"/>
      <c r="AE5" s="9"/>
      <c r="AF5" s="9"/>
      <c r="AG5" s="9"/>
      <c r="AH5" s="9"/>
      <c r="AI5" s="9"/>
      <c r="AJ5" s="9"/>
      <c r="AK5" s="9"/>
      <c r="AL5" s="9"/>
      <c r="AM5" s="9"/>
    </row>
    <row r="6" spans="1:40" x14ac:dyDescent="0.25">
      <c r="A6" s="2" t="s">
        <v>35</v>
      </c>
      <c r="B6" s="42" t="s">
        <v>36</v>
      </c>
      <c r="C6" s="42" t="s">
        <v>36</v>
      </c>
      <c r="D6" s="42" t="s">
        <v>36</v>
      </c>
      <c r="E6" s="42" t="s">
        <v>36</v>
      </c>
      <c r="F6" s="42" t="s">
        <v>36</v>
      </c>
      <c r="G6" s="42" t="s">
        <v>36</v>
      </c>
      <c r="H6" s="42" t="s">
        <v>36</v>
      </c>
      <c r="I6" s="42" t="s">
        <v>36</v>
      </c>
      <c r="J6" s="42" t="s">
        <v>36</v>
      </c>
      <c r="K6" s="42" t="s">
        <v>36</v>
      </c>
      <c r="L6" s="42" t="s">
        <v>36</v>
      </c>
      <c r="M6" s="42" t="s">
        <v>36</v>
      </c>
      <c r="N6" s="42" t="s">
        <v>36</v>
      </c>
      <c r="O6" s="42" t="s">
        <v>36</v>
      </c>
      <c r="P6" s="42" t="s">
        <v>36</v>
      </c>
      <c r="Q6" s="42" t="s">
        <v>36</v>
      </c>
      <c r="R6" s="42" t="s">
        <v>36</v>
      </c>
      <c r="S6" s="42" t="s">
        <v>37</v>
      </c>
      <c r="T6" s="42" t="s">
        <v>37</v>
      </c>
      <c r="U6" s="42" t="s">
        <v>37</v>
      </c>
      <c r="V6" s="42" t="s">
        <v>37</v>
      </c>
      <c r="W6" s="42" t="s">
        <v>37</v>
      </c>
      <c r="X6" s="42" t="s">
        <v>37</v>
      </c>
      <c r="Y6" s="42" t="s">
        <v>37</v>
      </c>
      <c r="Z6" s="42" t="s">
        <v>37</v>
      </c>
      <c r="AA6" s="42" t="s">
        <v>37</v>
      </c>
      <c r="AB6" s="42" t="s">
        <v>37</v>
      </c>
      <c r="AC6" s="9"/>
      <c r="AD6" s="9"/>
      <c r="AE6" s="9"/>
      <c r="AF6" s="9"/>
      <c r="AG6" s="9"/>
      <c r="AH6" s="9"/>
      <c r="AI6" s="9"/>
      <c r="AJ6" s="9"/>
      <c r="AK6" s="9"/>
      <c r="AL6" s="9"/>
      <c r="AM6" s="9"/>
    </row>
    <row r="7" spans="1:40" ht="16.5" customHeight="1" x14ac:dyDescent="0.25">
      <c r="A7" s="9" t="s">
        <v>38</v>
      </c>
      <c r="B7" s="42">
        <v>60</v>
      </c>
      <c r="C7" s="42">
        <v>60</v>
      </c>
      <c r="D7" s="42">
        <v>60</v>
      </c>
      <c r="E7" s="42">
        <v>60</v>
      </c>
      <c r="F7" s="42">
        <v>60</v>
      </c>
      <c r="G7" s="42">
        <v>60</v>
      </c>
      <c r="H7" s="42">
        <v>60</v>
      </c>
      <c r="I7" s="42">
        <v>60</v>
      </c>
      <c r="J7" s="42">
        <v>60</v>
      </c>
      <c r="K7" s="42">
        <v>60</v>
      </c>
      <c r="L7" s="42">
        <v>60</v>
      </c>
      <c r="M7" s="42">
        <v>60</v>
      </c>
      <c r="N7" s="42">
        <v>60</v>
      </c>
      <c r="O7" s="42">
        <v>60</v>
      </c>
      <c r="P7" s="42">
        <v>60</v>
      </c>
      <c r="Q7" s="42">
        <v>60</v>
      </c>
      <c r="R7" s="42">
        <v>60</v>
      </c>
      <c r="S7" s="42">
        <v>600</v>
      </c>
      <c r="T7" s="42">
        <v>600</v>
      </c>
      <c r="U7" s="42">
        <v>600</v>
      </c>
      <c r="V7" s="42">
        <v>600</v>
      </c>
      <c r="W7" s="42">
        <v>600</v>
      </c>
      <c r="X7" s="42">
        <v>600</v>
      </c>
      <c r="Y7" s="42">
        <v>600</v>
      </c>
      <c r="Z7" s="42">
        <v>600</v>
      </c>
      <c r="AA7" s="42">
        <v>600</v>
      </c>
      <c r="AB7" s="42">
        <v>600</v>
      </c>
      <c r="AC7" s="9"/>
      <c r="AD7" s="9"/>
      <c r="AE7" s="9"/>
      <c r="AF7" s="9"/>
      <c r="AG7" s="9"/>
      <c r="AH7" s="9"/>
      <c r="AI7" s="9"/>
      <c r="AJ7" s="9"/>
      <c r="AK7" s="9"/>
      <c r="AL7" s="9"/>
      <c r="AM7" s="9"/>
      <c r="AN7" s="9"/>
    </row>
    <row r="8" spans="1:40" x14ac:dyDescent="0.25">
      <c r="A8" s="13" t="s">
        <v>39</v>
      </c>
      <c r="B8" s="42">
        <v>18.600000000000001</v>
      </c>
      <c r="C8" s="42">
        <v>18.600000000000001</v>
      </c>
      <c r="D8" s="42">
        <v>18.600000000000001</v>
      </c>
      <c r="E8" s="42">
        <v>18.600000000000001</v>
      </c>
      <c r="F8" s="42">
        <v>18.600000000000001</v>
      </c>
      <c r="G8" s="42">
        <v>18.600000000000001</v>
      </c>
      <c r="H8" s="42">
        <v>18.600000000000001</v>
      </c>
      <c r="I8" s="42">
        <v>18.600000000000001</v>
      </c>
      <c r="J8" s="42">
        <v>18.600000000000001</v>
      </c>
      <c r="K8" s="42">
        <v>18.600000000000001</v>
      </c>
      <c r="L8" s="42">
        <v>18.600000000000001</v>
      </c>
      <c r="M8" s="42">
        <v>22</v>
      </c>
      <c r="N8" s="42">
        <v>22</v>
      </c>
      <c r="O8" s="42">
        <v>20</v>
      </c>
      <c r="P8" s="42">
        <v>20</v>
      </c>
      <c r="Q8" s="42">
        <v>20</v>
      </c>
      <c r="R8" s="42">
        <v>20</v>
      </c>
      <c r="S8" s="42">
        <v>12.45</v>
      </c>
      <c r="T8" s="42">
        <v>12.45</v>
      </c>
      <c r="U8" s="42">
        <v>12.45</v>
      </c>
      <c r="V8" s="42">
        <v>12.45</v>
      </c>
      <c r="W8" s="42">
        <v>12.45</v>
      </c>
      <c r="X8" s="42">
        <v>12.45</v>
      </c>
      <c r="Y8" s="42">
        <v>12.45</v>
      </c>
      <c r="Z8" s="42">
        <v>12.45</v>
      </c>
      <c r="AA8" s="42">
        <v>12.45</v>
      </c>
      <c r="AB8" s="42">
        <v>12.45</v>
      </c>
      <c r="AC8" s="9"/>
      <c r="AD8" s="9"/>
      <c r="AE8" s="9"/>
      <c r="AF8" s="9"/>
      <c r="AG8" s="9"/>
      <c r="AH8" s="9"/>
      <c r="AI8" s="9"/>
      <c r="AJ8" s="9"/>
      <c r="AK8" s="9"/>
      <c r="AL8" s="9"/>
      <c r="AM8" s="9"/>
      <c r="AN8" s="9"/>
    </row>
    <row r="9" spans="1:40" x14ac:dyDescent="0.25">
      <c r="A9" s="13" t="s">
        <v>40</v>
      </c>
      <c r="B9" s="42">
        <v>60</v>
      </c>
      <c r="C9" s="42">
        <v>60</v>
      </c>
      <c r="D9" s="42">
        <v>60</v>
      </c>
      <c r="E9" s="42">
        <v>60</v>
      </c>
      <c r="F9" s="42">
        <v>60</v>
      </c>
      <c r="G9" s="42">
        <v>60</v>
      </c>
      <c r="H9" s="42">
        <v>60</v>
      </c>
      <c r="I9" s="42">
        <v>60</v>
      </c>
      <c r="J9" s="42">
        <v>60</v>
      </c>
      <c r="K9" s="42">
        <v>60</v>
      </c>
      <c r="L9" s="42">
        <v>60</v>
      </c>
      <c r="M9" s="42">
        <v>60</v>
      </c>
      <c r="N9" s="42">
        <v>60</v>
      </c>
      <c r="O9" s="42">
        <v>60</v>
      </c>
      <c r="P9" s="42">
        <v>60</v>
      </c>
      <c r="Q9" s="42">
        <v>60</v>
      </c>
      <c r="R9" s="42">
        <v>60</v>
      </c>
      <c r="S9" s="42">
        <v>120</v>
      </c>
      <c r="T9" s="42">
        <v>120</v>
      </c>
      <c r="U9" s="42">
        <v>120</v>
      </c>
      <c r="V9" s="42">
        <v>120</v>
      </c>
      <c r="W9" s="42">
        <v>120</v>
      </c>
      <c r="X9" s="42">
        <v>120</v>
      </c>
      <c r="Y9" s="42">
        <v>120</v>
      </c>
      <c r="Z9" s="42">
        <v>120</v>
      </c>
      <c r="AA9" s="42">
        <v>120</v>
      </c>
      <c r="AB9" s="42">
        <v>120</v>
      </c>
      <c r="AC9" s="9"/>
      <c r="AD9" s="9"/>
      <c r="AE9" s="9"/>
      <c r="AF9" s="9"/>
      <c r="AG9" s="9"/>
    </row>
    <row r="10" spans="1:40" x14ac:dyDescent="0.25">
      <c r="A10" s="9" t="s">
        <v>6</v>
      </c>
      <c r="B10" s="42">
        <v>29</v>
      </c>
      <c r="C10" s="42">
        <v>15</v>
      </c>
      <c r="D10" s="42">
        <v>22</v>
      </c>
      <c r="E10" s="42">
        <v>29</v>
      </c>
      <c r="F10" s="42">
        <v>29</v>
      </c>
      <c r="G10" s="42">
        <v>30</v>
      </c>
      <c r="H10" s="42">
        <v>30</v>
      </c>
      <c r="I10" s="42">
        <v>30</v>
      </c>
      <c r="J10" s="42">
        <v>30</v>
      </c>
      <c r="K10" s="42">
        <v>30</v>
      </c>
      <c r="L10" s="42">
        <v>30</v>
      </c>
      <c r="M10" s="42">
        <v>41</v>
      </c>
      <c r="N10" s="42">
        <v>41</v>
      </c>
      <c r="O10" s="42">
        <v>27</v>
      </c>
      <c r="P10" s="42">
        <v>54</v>
      </c>
      <c r="Q10" s="42">
        <v>27</v>
      </c>
      <c r="R10" s="42">
        <v>27</v>
      </c>
      <c r="S10" s="42">
        <v>28</v>
      </c>
      <c r="T10" s="42">
        <v>28</v>
      </c>
      <c r="U10" s="42">
        <v>1</v>
      </c>
      <c r="V10" s="42">
        <v>1</v>
      </c>
      <c r="W10" s="42">
        <v>28</v>
      </c>
      <c r="X10" s="42">
        <v>28</v>
      </c>
      <c r="Y10" s="42">
        <v>28</v>
      </c>
      <c r="Z10" s="42">
        <v>28</v>
      </c>
      <c r="AA10" s="42">
        <v>28</v>
      </c>
      <c r="AB10" s="42">
        <v>28</v>
      </c>
      <c r="AC10" s="9"/>
      <c r="AD10" s="9"/>
      <c r="AE10" s="9"/>
      <c r="AF10" s="9"/>
      <c r="AG10" s="9"/>
    </row>
    <row r="11" spans="1:40" x14ac:dyDescent="0.25">
      <c r="A11" s="9" t="s">
        <v>5</v>
      </c>
      <c r="B11" s="42"/>
      <c r="C11" s="42"/>
      <c r="D11" s="42"/>
      <c r="E11" s="42"/>
      <c r="F11" s="42"/>
      <c r="G11" s="42"/>
      <c r="H11" s="42"/>
      <c r="I11" s="42"/>
      <c r="J11" s="42"/>
      <c r="K11" s="42"/>
      <c r="L11" s="42"/>
      <c r="M11" s="42"/>
      <c r="N11" s="42"/>
      <c r="O11" s="42"/>
      <c r="P11" s="42"/>
      <c r="Q11" s="42"/>
      <c r="R11" s="42"/>
      <c r="S11" s="42">
        <v>40</v>
      </c>
      <c r="T11" s="42">
        <v>40</v>
      </c>
      <c r="U11" s="42">
        <v>40</v>
      </c>
      <c r="V11" s="42">
        <v>40</v>
      </c>
      <c r="W11" s="42">
        <v>1</v>
      </c>
      <c r="X11" s="42">
        <v>1</v>
      </c>
      <c r="Y11" s="42">
        <v>1</v>
      </c>
      <c r="Z11" s="42">
        <v>1</v>
      </c>
      <c r="AA11" s="42">
        <v>1</v>
      </c>
      <c r="AB11" s="42">
        <v>1</v>
      </c>
      <c r="AC11" s="9"/>
      <c r="AD11" s="9"/>
      <c r="AE11" s="9"/>
      <c r="AF11" s="9"/>
      <c r="AG11" s="9"/>
    </row>
    <row r="12" spans="1:40" x14ac:dyDescent="0.25">
      <c r="A12" s="13" t="s">
        <v>41</v>
      </c>
      <c r="B12" s="42">
        <v>84</v>
      </c>
      <c r="C12" s="42">
        <v>84</v>
      </c>
      <c r="D12" s="42">
        <v>84</v>
      </c>
      <c r="E12" s="42">
        <v>84</v>
      </c>
      <c r="F12" s="42">
        <v>84</v>
      </c>
      <c r="G12" s="43" t="s">
        <v>42</v>
      </c>
      <c r="H12" s="43" t="s">
        <v>42</v>
      </c>
      <c r="I12" s="43" t="s">
        <v>42</v>
      </c>
      <c r="J12" s="43" t="s">
        <v>42</v>
      </c>
      <c r="K12" s="43" t="s">
        <v>42</v>
      </c>
      <c r="L12" s="43" t="s">
        <v>42</v>
      </c>
      <c r="M12" s="42">
        <v>35</v>
      </c>
      <c r="N12" s="42">
        <v>35</v>
      </c>
      <c r="O12" s="42">
        <v>27</v>
      </c>
      <c r="P12" s="42">
        <v>54</v>
      </c>
      <c r="Q12" s="42">
        <v>27</v>
      </c>
      <c r="R12" s="42">
        <v>27</v>
      </c>
      <c r="S12" s="43" t="s">
        <v>42</v>
      </c>
      <c r="T12" s="43" t="s">
        <v>42</v>
      </c>
      <c r="U12" s="43" t="s">
        <v>42</v>
      </c>
      <c r="V12" s="43" t="s">
        <v>42</v>
      </c>
      <c r="W12" s="43" t="s">
        <v>42</v>
      </c>
      <c r="X12" s="43" t="s">
        <v>42</v>
      </c>
      <c r="Y12" s="43" t="s">
        <v>42</v>
      </c>
      <c r="Z12" s="43" t="s">
        <v>42</v>
      </c>
      <c r="AA12" s="43" t="s">
        <v>42</v>
      </c>
      <c r="AB12" s="43" t="s">
        <v>42</v>
      </c>
      <c r="AC12" s="4"/>
      <c r="AD12" s="4"/>
      <c r="AE12" s="4"/>
      <c r="AF12" s="4"/>
      <c r="AG12" s="4"/>
      <c r="AH12" s="40"/>
      <c r="AI12" s="40"/>
      <c r="AJ12" s="40"/>
      <c r="AK12" s="40"/>
      <c r="AL12" s="40"/>
      <c r="AM12" s="40"/>
      <c r="AN12" s="40"/>
    </row>
    <row r="13" spans="1:40" ht="16.5" customHeight="1" x14ac:dyDescent="0.25">
      <c r="A13" s="13" t="s">
        <v>43</v>
      </c>
      <c r="B13" s="42">
        <v>25</v>
      </c>
      <c r="C13" s="42">
        <v>25</v>
      </c>
      <c r="D13" s="42">
        <v>25</v>
      </c>
      <c r="E13" s="42">
        <v>0</v>
      </c>
      <c r="F13" s="42">
        <v>0</v>
      </c>
      <c r="G13" s="42">
        <v>0</v>
      </c>
      <c r="H13" s="42">
        <v>0</v>
      </c>
      <c r="I13" s="42">
        <v>0</v>
      </c>
      <c r="J13" s="42">
        <v>0</v>
      </c>
      <c r="K13" s="42">
        <v>0</v>
      </c>
      <c r="L13" s="42">
        <v>0</v>
      </c>
      <c r="M13" s="42">
        <v>340</v>
      </c>
      <c r="N13" s="42">
        <v>340</v>
      </c>
      <c r="O13" s="42">
        <v>20</v>
      </c>
      <c r="P13" s="42">
        <v>20</v>
      </c>
      <c r="Q13" s="42">
        <v>0</v>
      </c>
      <c r="R13" s="42">
        <v>0</v>
      </c>
      <c r="S13" s="42">
        <v>0</v>
      </c>
      <c r="T13" s="42">
        <v>0</v>
      </c>
      <c r="U13" s="42">
        <v>0</v>
      </c>
      <c r="V13" s="42">
        <v>0</v>
      </c>
      <c r="W13" s="42">
        <v>0</v>
      </c>
      <c r="X13" s="42">
        <v>0</v>
      </c>
      <c r="Y13" s="42">
        <v>0</v>
      </c>
      <c r="Z13" s="42">
        <v>0</v>
      </c>
      <c r="AA13" s="42">
        <v>0</v>
      </c>
      <c r="AB13" s="42">
        <v>0</v>
      </c>
      <c r="AC13" s="9"/>
      <c r="AF13" s="9"/>
      <c r="AG13" s="9"/>
    </row>
    <row r="14" spans="1:40" x14ac:dyDescent="0.25">
      <c r="A14" s="13" t="s">
        <v>44</v>
      </c>
      <c r="B14" s="42">
        <v>5</v>
      </c>
      <c r="C14" s="42">
        <v>5</v>
      </c>
      <c r="D14" s="42">
        <v>5</v>
      </c>
      <c r="E14" s="42">
        <v>5</v>
      </c>
      <c r="F14" s="42">
        <v>5</v>
      </c>
      <c r="G14" s="42">
        <v>0</v>
      </c>
      <c r="H14" s="42">
        <v>0</v>
      </c>
      <c r="I14" s="42">
        <v>0</v>
      </c>
      <c r="J14" s="42">
        <v>0</v>
      </c>
      <c r="K14" s="42">
        <v>0</v>
      </c>
      <c r="L14" s="42">
        <v>0</v>
      </c>
      <c r="M14" s="42">
        <v>5</v>
      </c>
      <c r="N14" s="42">
        <v>5</v>
      </c>
      <c r="O14" s="42">
        <v>5</v>
      </c>
      <c r="P14" s="42">
        <v>5</v>
      </c>
      <c r="Q14" s="42">
        <v>5</v>
      </c>
      <c r="R14" s="42">
        <v>5</v>
      </c>
      <c r="S14" s="42">
        <v>0</v>
      </c>
      <c r="T14" s="42">
        <v>0</v>
      </c>
      <c r="U14" s="42">
        <v>0</v>
      </c>
      <c r="V14" s="42">
        <v>0</v>
      </c>
      <c r="W14" s="42">
        <v>0</v>
      </c>
      <c r="X14" s="42">
        <v>0</v>
      </c>
      <c r="Y14" s="42">
        <v>0</v>
      </c>
      <c r="Z14" s="42">
        <v>0</v>
      </c>
      <c r="AA14" s="42">
        <v>0</v>
      </c>
      <c r="AB14" s="42">
        <v>0</v>
      </c>
      <c r="AC14" s="9"/>
      <c r="AG14" s="9"/>
    </row>
    <row r="15" spans="1:40" x14ac:dyDescent="0.25">
      <c r="A15" s="9" t="s">
        <v>45</v>
      </c>
      <c r="B15" s="42">
        <v>3.7</v>
      </c>
      <c r="C15" s="42">
        <v>3.7</v>
      </c>
      <c r="D15" s="42">
        <v>3.7</v>
      </c>
      <c r="E15" s="42">
        <v>3.7</v>
      </c>
      <c r="F15" s="42">
        <v>3.7</v>
      </c>
      <c r="G15" s="42">
        <v>1</v>
      </c>
      <c r="H15" s="42">
        <v>1</v>
      </c>
      <c r="I15" s="42">
        <v>1</v>
      </c>
      <c r="J15" s="42">
        <v>1</v>
      </c>
      <c r="K15" s="42">
        <v>1</v>
      </c>
      <c r="L15" s="42">
        <v>1</v>
      </c>
      <c r="M15" s="42">
        <v>1</v>
      </c>
      <c r="N15" s="42">
        <v>1</v>
      </c>
      <c r="O15" s="42">
        <v>2</v>
      </c>
      <c r="P15" s="42">
        <v>2</v>
      </c>
      <c r="Q15" s="42">
        <v>2</v>
      </c>
      <c r="R15" s="42">
        <v>2</v>
      </c>
      <c r="S15" s="42">
        <v>1</v>
      </c>
      <c r="T15" s="42">
        <v>1</v>
      </c>
      <c r="U15" s="42">
        <v>1</v>
      </c>
      <c r="V15" s="42">
        <v>1</v>
      </c>
      <c r="W15" s="42">
        <v>1</v>
      </c>
      <c r="X15" s="42">
        <v>1</v>
      </c>
      <c r="Y15" s="42">
        <v>1</v>
      </c>
      <c r="Z15" s="42">
        <v>1</v>
      </c>
      <c r="AA15" s="42">
        <v>1</v>
      </c>
      <c r="AB15" s="42">
        <v>1</v>
      </c>
      <c r="AC15" s="9"/>
      <c r="AD15" s="9"/>
      <c r="AE15" s="9"/>
      <c r="AF15" s="9"/>
      <c r="AG15" s="9"/>
    </row>
    <row r="16" spans="1:40" ht="17.25" x14ac:dyDescent="0.25">
      <c r="A16" s="13" t="s">
        <v>46</v>
      </c>
      <c r="B16" s="42">
        <v>0</v>
      </c>
      <c r="C16" s="42">
        <v>0</v>
      </c>
      <c r="D16" s="42">
        <v>0</v>
      </c>
      <c r="E16" s="42">
        <v>0</v>
      </c>
      <c r="F16" s="42">
        <v>0</v>
      </c>
      <c r="G16" s="42">
        <v>0</v>
      </c>
      <c r="H16" s="42">
        <v>0</v>
      </c>
      <c r="I16" s="42">
        <v>0</v>
      </c>
      <c r="J16" s="42">
        <v>0</v>
      </c>
      <c r="K16" s="42">
        <v>0</v>
      </c>
      <c r="L16" s="42">
        <v>0</v>
      </c>
      <c r="M16" s="42">
        <v>0</v>
      </c>
      <c r="N16" s="42">
        <v>0</v>
      </c>
      <c r="O16" s="42">
        <v>0</v>
      </c>
      <c r="P16" s="42">
        <v>0</v>
      </c>
      <c r="Q16" s="42">
        <v>0</v>
      </c>
      <c r="R16" s="42">
        <v>0</v>
      </c>
      <c r="S16" s="42">
        <v>0</v>
      </c>
      <c r="T16" s="42">
        <v>0</v>
      </c>
      <c r="U16" s="42">
        <v>0</v>
      </c>
      <c r="V16" s="42">
        <v>0</v>
      </c>
      <c r="W16" s="42">
        <v>0</v>
      </c>
      <c r="X16" s="42">
        <v>0</v>
      </c>
      <c r="Y16" s="42">
        <v>0</v>
      </c>
      <c r="Z16" s="42">
        <v>0</v>
      </c>
      <c r="AA16" s="42">
        <v>0</v>
      </c>
      <c r="AB16" s="42">
        <v>0</v>
      </c>
      <c r="AC16" s="9"/>
      <c r="AD16" s="9"/>
      <c r="AE16" s="9"/>
      <c r="AF16" s="9"/>
      <c r="AG16" s="9"/>
      <c r="AL16" s="9"/>
      <c r="AM16" s="9"/>
      <c r="AN16" s="9"/>
    </row>
    <row r="17" spans="1:41" ht="16.5" customHeight="1" x14ac:dyDescent="0.25">
      <c r="A17" s="13" t="s">
        <v>47</v>
      </c>
      <c r="B17" s="42">
        <v>0</v>
      </c>
      <c r="C17" s="42">
        <v>0</v>
      </c>
      <c r="D17" s="42">
        <v>0</v>
      </c>
      <c r="E17" s="42">
        <v>0</v>
      </c>
      <c r="F17" s="42">
        <v>0</v>
      </c>
      <c r="G17" s="42">
        <v>0</v>
      </c>
      <c r="H17" s="42">
        <v>0</v>
      </c>
      <c r="I17" s="42">
        <v>0</v>
      </c>
      <c r="J17" s="42">
        <v>0</v>
      </c>
      <c r="K17" s="42">
        <v>0</v>
      </c>
      <c r="L17" s="42">
        <v>0</v>
      </c>
      <c r="M17" s="42">
        <v>0</v>
      </c>
      <c r="N17" s="42">
        <v>0</v>
      </c>
      <c r="O17" s="42">
        <v>0</v>
      </c>
      <c r="P17" s="42">
        <v>0</v>
      </c>
      <c r="Q17" s="42">
        <v>0</v>
      </c>
      <c r="R17" s="42">
        <v>0</v>
      </c>
      <c r="S17" s="42">
        <v>0</v>
      </c>
      <c r="T17" s="42">
        <v>0</v>
      </c>
      <c r="U17" s="42">
        <v>0</v>
      </c>
      <c r="V17" s="42">
        <v>0</v>
      </c>
      <c r="W17" s="42">
        <v>0</v>
      </c>
      <c r="X17" s="42">
        <v>0</v>
      </c>
      <c r="Y17" s="42">
        <v>0</v>
      </c>
      <c r="Z17" s="42">
        <v>0</v>
      </c>
      <c r="AA17" s="42">
        <v>0</v>
      </c>
      <c r="AB17" s="42">
        <v>0</v>
      </c>
      <c r="AC17" s="9"/>
      <c r="AD17" s="9"/>
      <c r="AE17" s="9"/>
      <c r="AF17" s="9"/>
      <c r="AG17" s="9"/>
      <c r="AL17" s="9"/>
      <c r="AM17" s="9"/>
      <c r="AN17" s="9"/>
      <c r="AO17" s="1"/>
    </row>
    <row r="18" spans="1:41" ht="16.5" customHeight="1" x14ac:dyDescent="0.25">
      <c r="A18" s="13" t="s">
        <v>48</v>
      </c>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9"/>
      <c r="AD18" s="9"/>
      <c r="AE18" s="9"/>
      <c r="AF18" s="9"/>
      <c r="AG18" s="9"/>
      <c r="AH18" s="9"/>
      <c r="AI18" s="9"/>
      <c r="AJ18" s="9"/>
      <c r="AK18" s="9"/>
      <c r="AL18" s="9"/>
      <c r="AM18" s="9"/>
      <c r="AN18" s="9"/>
      <c r="AO18" s="1"/>
    </row>
    <row r="19" spans="1:41" x14ac:dyDescent="0.25">
      <c r="A19" s="2" t="s">
        <v>49</v>
      </c>
      <c r="B19" s="42">
        <v>1</v>
      </c>
      <c r="C19" s="42">
        <v>0.5</v>
      </c>
      <c r="D19" s="42">
        <v>0.75</v>
      </c>
      <c r="E19" s="42">
        <v>0.01</v>
      </c>
      <c r="F19" s="42">
        <v>0.01</v>
      </c>
      <c r="G19" s="42">
        <v>0.39</v>
      </c>
      <c r="H19" s="42">
        <v>0.39</v>
      </c>
      <c r="I19" s="42">
        <v>0.39</v>
      </c>
      <c r="J19" s="42">
        <v>0.01</v>
      </c>
      <c r="K19" s="42">
        <v>0.5</v>
      </c>
      <c r="L19" s="42">
        <v>0.39</v>
      </c>
      <c r="M19" s="42">
        <v>0.5</v>
      </c>
      <c r="N19" s="42">
        <v>1</v>
      </c>
      <c r="O19" s="42">
        <v>0.5</v>
      </c>
      <c r="P19" s="42">
        <v>1</v>
      </c>
      <c r="Q19" s="42">
        <v>0.5</v>
      </c>
      <c r="R19" s="42">
        <v>0.01</v>
      </c>
      <c r="S19" s="42">
        <v>0.66</v>
      </c>
      <c r="T19" s="42">
        <v>0.66</v>
      </c>
      <c r="U19" s="42">
        <v>0.1</v>
      </c>
      <c r="V19" s="42">
        <v>0.1</v>
      </c>
      <c r="W19" s="42">
        <v>0.01</v>
      </c>
      <c r="X19" s="42">
        <v>0.01</v>
      </c>
      <c r="Y19" s="42">
        <v>0.4</v>
      </c>
      <c r="Z19" s="42">
        <v>0.3</v>
      </c>
      <c r="AA19" s="42">
        <v>0.3</v>
      </c>
      <c r="AB19" s="42">
        <v>0.3</v>
      </c>
      <c r="AC19" s="9"/>
      <c r="AD19" s="9"/>
      <c r="AE19" s="9"/>
    </row>
    <row r="20" spans="1:41" x14ac:dyDescent="0.25">
      <c r="A20" s="13" t="s">
        <v>50</v>
      </c>
      <c r="B20" s="42">
        <v>0</v>
      </c>
      <c r="C20" s="42">
        <v>0</v>
      </c>
      <c r="D20" s="42">
        <v>0</v>
      </c>
      <c r="E20" s="42">
        <v>0.99</v>
      </c>
      <c r="F20" s="42">
        <v>0.99</v>
      </c>
      <c r="G20" s="42">
        <v>0</v>
      </c>
      <c r="H20" s="42">
        <v>0.33</v>
      </c>
      <c r="I20" s="42">
        <v>0.33</v>
      </c>
      <c r="J20" s="42">
        <v>0.99</v>
      </c>
      <c r="K20" s="42">
        <v>0</v>
      </c>
      <c r="L20" s="42">
        <v>0</v>
      </c>
      <c r="M20" s="42">
        <v>0</v>
      </c>
      <c r="N20" s="42">
        <v>0</v>
      </c>
      <c r="O20" s="42">
        <v>0</v>
      </c>
      <c r="P20" s="42">
        <v>0</v>
      </c>
      <c r="Q20" s="42">
        <v>0</v>
      </c>
      <c r="R20" s="42">
        <v>0.99</v>
      </c>
      <c r="S20" s="42">
        <v>0</v>
      </c>
      <c r="T20" s="42">
        <v>0</v>
      </c>
      <c r="U20" s="42">
        <v>0</v>
      </c>
      <c r="V20" s="42">
        <v>0</v>
      </c>
      <c r="W20" s="42">
        <v>0.99</v>
      </c>
      <c r="X20" s="42">
        <v>0.99</v>
      </c>
      <c r="Y20" s="42">
        <v>0.6</v>
      </c>
      <c r="Z20" s="42">
        <v>0</v>
      </c>
      <c r="AA20" s="42">
        <v>0</v>
      </c>
      <c r="AB20" s="42">
        <v>0</v>
      </c>
    </row>
    <row r="21" spans="1:41" ht="16.5" customHeight="1" x14ac:dyDescent="0.25">
      <c r="A21" s="18"/>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1"/>
    </row>
    <row r="22" spans="1:41" ht="16.5" customHeight="1" x14ac:dyDescent="0.25">
      <c r="A22" s="20" t="s">
        <v>51</v>
      </c>
      <c r="B22" s="9" t="s">
        <v>8</v>
      </c>
      <c r="C22" s="9" t="s">
        <v>9</v>
      </c>
      <c r="D22" s="9" t="s">
        <v>10</v>
      </c>
      <c r="E22" s="9" t="s">
        <v>11</v>
      </c>
      <c r="F22" s="9" t="s">
        <v>12</v>
      </c>
      <c r="G22" s="9" t="s">
        <v>13</v>
      </c>
      <c r="H22" s="9" t="s">
        <v>14</v>
      </c>
      <c r="I22" s="9" t="s">
        <v>15</v>
      </c>
      <c r="J22" s="9" t="s">
        <v>16</v>
      </c>
      <c r="K22" s="9" t="s">
        <v>17</v>
      </c>
      <c r="L22" s="9" t="s">
        <v>18</v>
      </c>
      <c r="M22" s="9" t="s">
        <v>19</v>
      </c>
      <c r="N22" s="9" t="s">
        <v>20</v>
      </c>
      <c r="O22" s="9" t="s">
        <v>21</v>
      </c>
      <c r="P22" s="9" t="s">
        <v>22</v>
      </c>
      <c r="Q22" s="9" t="s">
        <v>23</v>
      </c>
      <c r="R22" s="9" t="s">
        <v>24</v>
      </c>
      <c r="S22" s="9" t="s">
        <v>25</v>
      </c>
      <c r="T22" s="9" t="s">
        <v>26</v>
      </c>
      <c r="U22" s="9" t="s">
        <v>27</v>
      </c>
      <c r="V22" s="9" t="s">
        <v>28</v>
      </c>
      <c r="W22" t="s">
        <v>29</v>
      </c>
      <c r="X22" t="s">
        <v>30</v>
      </c>
      <c r="Y22" t="s">
        <v>31</v>
      </c>
      <c r="Z22" t="s">
        <v>52</v>
      </c>
      <c r="AA22" t="s">
        <v>33</v>
      </c>
      <c r="AB22" t="s">
        <v>34</v>
      </c>
      <c r="AC22" s="9"/>
      <c r="AD22" s="9"/>
      <c r="AE22" s="9"/>
      <c r="AF22" s="9"/>
      <c r="AG22" s="9"/>
      <c r="AH22" s="9"/>
      <c r="AI22" s="9"/>
      <c r="AJ22" s="9"/>
      <c r="AK22" s="9"/>
      <c r="AL22" s="9"/>
      <c r="AM22" s="9"/>
      <c r="AN22" s="1"/>
    </row>
    <row r="23" spans="1:41" ht="16.5" customHeight="1" x14ac:dyDescent="0.25">
      <c r="A23" s="13" t="s">
        <v>53</v>
      </c>
      <c r="B23" s="42">
        <v>0.65</v>
      </c>
      <c r="C23" s="42">
        <v>0.65</v>
      </c>
      <c r="D23" s="42">
        <v>0.65</v>
      </c>
      <c r="E23" s="42">
        <v>0.65</v>
      </c>
      <c r="F23" s="42">
        <v>0.65</v>
      </c>
      <c r="G23" s="42"/>
      <c r="H23" s="42"/>
      <c r="I23" s="42"/>
      <c r="J23" s="42"/>
      <c r="K23" s="42"/>
      <c r="L23" s="42"/>
      <c r="M23" s="42"/>
      <c r="N23" s="42"/>
      <c r="O23" s="42"/>
      <c r="P23" s="42"/>
      <c r="Q23" s="42"/>
      <c r="R23" s="42"/>
      <c r="S23" s="42"/>
      <c r="T23" s="42"/>
      <c r="U23" s="42"/>
      <c r="V23" s="42"/>
      <c r="W23" s="42"/>
      <c r="X23" s="42"/>
      <c r="Y23" s="42"/>
      <c r="Z23" s="42"/>
      <c r="AA23" s="42"/>
      <c r="AB23" s="42"/>
      <c r="AC23" s="9"/>
      <c r="AD23" s="9"/>
      <c r="AE23" s="9"/>
      <c r="AF23" s="9"/>
      <c r="AG23" s="9"/>
      <c r="AH23" s="9"/>
      <c r="AI23" s="9"/>
      <c r="AJ23" s="9"/>
      <c r="AK23" s="9"/>
      <c r="AL23" s="9"/>
      <c r="AM23" s="9"/>
      <c r="AN23" s="1"/>
    </row>
    <row r="24" spans="1:41" ht="16.5" customHeight="1" x14ac:dyDescent="0.25">
      <c r="A24" s="13" t="s">
        <v>54</v>
      </c>
      <c r="B24" s="42"/>
      <c r="C24" s="42"/>
      <c r="D24" s="42"/>
      <c r="E24" s="42"/>
      <c r="F24" s="42"/>
      <c r="G24" s="42"/>
      <c r="H24" s="42"/>
      <c r="I24" s="42"/>
      <c r="J24" s="42"/>
      <c r="K24" s="42"/>
      <c r="L24" s="42"/>
      <c r="M24" s="42"/>
      <c r="N24" s="42"/>
      <c r="O24" s="42">
        <v>0.3</v>
      </c>
      <c r="P24" s="42">
        <v>0.3</v>
      </c>
      <c r="Q24" s="42">
        <v>0.3</v>
      </c>
      <c r="R24" s="42">
        <v>0.3</v>
      </c>
      <c r="S24" s="42"/>
      <c r="T24" s="42"/>
      <c r="U24" s="42"/>
      <c r="V24" s="42"/>
      <c r="W24" s="42"/>
      <c r="X24" s="42"/>
      <c r="Y24" s="42"/>
      <c r="Z24" s="42"/>
      <c r="AA24" s="42"/>
      <c r="AB24" s="42"/>
      <c r="AC24" s="9"/>
      <c r="AD24" s="9"/>
      <c r="AE24" s="9"/>
      <c r="AF24" s="9"/>
      <c r="AG24" s="9"/>
      <c r="AH24" s="9"/>
      <c r="AI24" s="9"/>
      <c r="AJ24" s="9"/>
      <c r="AK24" s="9"/>
      <c r="AL24" s="9"/>
      <c r="AM24" s="9"/>
      <c r="AN24" s="1"/>
    </row>
    <row r="25" spans="1:41" ht="16.5" customHeight="1" x14ac:dyDescent="0.25">
      <c r="A25" s="13" t="s">
        <v>55</v>
      </c>
      <c r="B25" s="42"/>
      <c r="C25" s="42"/>
      <c r="D25" s="42"/>
      <c r="E25" s="42"/>
      <c r="F25" s="42"/>
      <c r="G25" s="42">
        <v>2.2999999999999998</v>
      </c>
      <c r="H25" s="42">
        <v>2.2999999999999998</v>
      </c>
      <c r="I25" s="42">
        <v>2.2999999999999998</v>
      </c>
      <c r="J25" s="42">
        <v>2.2999999999999998</v>
      </c>
      <c r="K25" s="42">
        <v>2.2999999999999998</v>
      </c>
      <c r="L25" s="42">
        <v>2.2999999999999998</v>
      </c>
      <c r="M25" s="42"/>
      <c r="N25" s="42"/>
      <c r="O25" s="42"/>
      <c r="P25" s="42"/>
      <c r="Q25" s="42"/>
      <c r="R25" s="42"/>
      <c r="S25" s="42"/>
      <c r="T25" s="42"/>
      <c r="U25" s="42"/>
      <c r="V25" s="42"/>
      <c r="W25" s="42"/>
      <c r="X25" s="42"/>
      <c r="Y25" s="42"/>
      <c r="Z25" s="42"/>
      <c r="AA25" s="42"/>
      <c r="AB25" s="42"/>
      <c r="AC25" s="9"/>
      <c r="AD25" s="9"/>
      <c r="AE25" s="9"/>
      <c r="AF25" s="9"/>
      <c r="AG25" s="9"/>
      <c r="AH25" s="9"/>
      <c r="AI25" s="9"/>
      <c r="AJ25" s="9"/>
      <c r="AK25" s="9"/>
      <c r="AL25" s="9"/>
      <c r="AM25" s="9"/>
      <c r="AN25" s="1"/>
    </row>
    <row r="26" spans="1:41" ht="16.5" customHeight="1" x14ac:dyDescent="0.25">
      <c r="A26" s="13" t="s">
        <v>56</v>
      </c>
      <c r="B26" s="42"/>
      <c r="C26" s="42"/>
      <c r="D26" s="42"/>
      <c r="E26" s="42"/>
      <c r="F26" s="42"/>
      <c r="G26" s="42"/>
      <c r="H26" s="42"/>
      <c r="I26" s="42"/>
      <c r="J26" s="42"/>
      <c r="K26" s="42"/>
      <c r="L26" s="42"/>
      <c r="M26" s="42">
        <v>4.5</v>
      </c>
      <c r="N26" s="42">
        <v>4.5</v>
      </c>
      <c r="O26" s="42"/>
      <c r="P26" s="42"/>
      <c r="Q26" s="42"/>
      <c r="R26" s="42"/>
      <c r="S26" s="42"/>
      <c r="T26" s="42"/>
      <c r="U26" s="42"/>
      <c r="V26" s="42"/>
      <c r="W26" s="42"/>
      <c r="X26" s="42"/>
      <c r="Y26" s="42"/>
      <c r="Z26" s="42"/>
      <c r="AA26" s="42"/>
      <c r="AB26" s="42"/>
      <c r="AC26" s="9"/>
      <c r="AD26" s="9"/>
      <c r="AE26" s="9"/>
      <c r="AF26" s="9"/>
      <c r="AG26" s="9"/>
      <c r="AH26" s="9"/>
      <c r="AI26" s="9"/>
      <c r="AJ26" s="9"/>
      <c r="AK26" s="9"/>
      <c r="AL26" s="9"/>
      <c r="AM26" s="9"/>
      <c r="AN26" s="1"/>
    </row>
    <row r="27" spans="1:41" ht="16.5" customHeight="1" x14ac:dyDescent="0.25">
      <c r="A27" s="13" t="s">
        <v>57</v>
      </c>
      <c r="B27" s="42"/>
      <c r="C27" s="42"/>
      <c r="D27" s="42"/>
      <c r="E27" s="42"/>
      <c r="F27" s="42"/>
      <c r="G27" s="42">
        <v>1.5</v>
      </c>
      <c r="H27" s="42">
        <v>1.5</v>
      </c>
      <c r="I27" s="42">
        <v>1.5</v>
      </c>
      <c r="J27" s="42">
        <v>1.5</v>
      </c>
      <c r="K27" s="42">
        <v>1.5</v>
      </c>
      <c r="L27" s="42">
        <v>1.5</v>
      </c>
      <c r="M27" s="42"/>
      <c r="N27" s="42"/>
      <c r="O27" s="42"/>
      <c r="P27" s="42"/>
      <c r="Q27" s="42"/>
      <c r="R27" s="42"/>
      <c r="S27" s="42"/>
      <c r="T27" s="42"/>
      <c r="U27" s="42"/>
      <c r="V27" s="42"/>
      <c r="W27" s="42"/>
      <c r="X27" s="42"/>
      <c r="Y27" s="42"/>
      <c r="Z27" s="42"/>
      <c r="AA27" s="42"/>
      <c r="AB27" s="42"/>
      <c r="AC27" s="9"/>
      <c r="AD27" s="9"/>
      <c r="AE27" s="9"/>
      <c r="AF27" s="9"/>
      <c r="AG27" s="9"/>
      <c r="AH27" s="9"/>
      <c r="AI27" s="9"/>
      <c r="AJ27" s="9"/>
      <c r="AK27" s="9"/>
      <c r="AL27" s="9"/>
      <c r="AM27" s="9"/>
      <c r="AN27" s="1"/>
    </row>
    <row r="28" spans="1:41" ht="16.5" customHeight="1" x14ac:dyDescent="0.25">
      <c r="A28" s="13" t="s">
        <v>58</v>
      </c>
      <c r="B28" s="42"/>
      <c r="C28" s="42"/>
      <c r="D28" s="42"/>
      <c r="E28" s="42"/>
      <c r="F28" s="42"/>
      <c r="G28" s="42">
        <v>1.9</v>
      </c>
      <c r="H28" s="42">
        <v>1.9</v>
      </c>
      <c r="I28" s="42">
        <v>1.9</v>
      </c>
      <c r="J28" s="42">
        <v>1.9</v>
      </c>
      <c r="K28" s="42">
        <v>1.9</v>
      </c>
      <c r="L28" s="42">
        <v>1.9</v>
      </c>
      <c r="M28" s="42"/>
      <c r="N28" s="42"/>
      <c r="O28" s="42"/>
      <c r="P28" s="42"/>
      <c r="Q28" s="42"/>
      <c r="R28" s="42"/>
      <c r="S28" s="42"/>
      <c r="T28" s="42"/>
      <c r="U28" s="42"/>
      <c r="V28" s="42"/>
      <c r="W28" s="42"/>
      <c r="X28" s="42"/>
      <c r="Y28" s="42"/>
      <c r="Z28" s="42"/>
      <c r="AA28" s="42"/>
      <c r="AB28" s="42"/>
      <c r="AC28" s="9"/>
      <c r="AD28" s="9"/>
      <c r="AE28" s="9"/>
      <c r="AF28" s="9"/>
      <c r="AG28" s="9"/>
      <c r="AH28" s="9"/>
      <c r="AI28" s="9"/>
      <c r="AJ28" s="9"/>
      <c r="AK28" s="9"/>
      <c r="AL28" s="9"/>
      <c r="AM28" s="9"/>
      <c r="AN28" s="1"/>
    </row>
    <row r="29" spans="1:41" ht="16.5" customHeight="1" x14ac:dyDescent="0.25">
      <c r="A29" s="13" t="s">
        <v>59</v>
      </c>
      <c r="B29" s="42"/>
      <c r="C29" s="42"/>
      <c r="D29" s="42"/>
      <c r="E29" s="42"/>
      <c r="F29" s="42"/>
      <c r="G29" s="42"/>
      <c r="H29" s="42"/>
      <c r="I29" s="42"/>
      <c r="J29" s="42"/>
      <c r="K29" s="42"/>
      <c r="L29" s="42"/>
      <c r="M29" s="42"/>
      <c r="N29" s="42"/>
      <c r="O29" s="42"/>
      <c r="P29" s="42"/>
      <c r="Q29" s="42"/>
      <c r="R29" s="42"/>
      <c r="S29" s="42">
        <v>7.99</v>
      </c>
      <c r="T29" s="42">
        <v>7.99</v>
      </c>
      <c r="U29" s="42">
        <v>7.99</v>
      </c>
      <c r="V29" s="42">
        <v>7.99</v>
      </c>
      <c r="W29" s="42">
        <v>8.36</v>
      </c>
      <c r="X29" s="42"/>
      <c r="Y29" s="42">
        <v>9.2200000000000006</v>
      </c>
      <c r="Z29" s="42"/>
      <c r="AA29" s="42">
        <v>3.34</v>
      </c>
      <c r="AB29" s="42">
        <v>3.34</v>
      </c>
      <c r="AC29" s="9"/>
      <c r="AD29" s="9"/>
      <c r="AE29" s="9"/>
      <c r="AF29" s="9"/>
      <c r="AG29" s="9"/>
      <c r="AH29" s="9"/>
      <c r="AI29" s="9"/>
      <c r="AJ29" s="9"/>
      <c r="AK29" s="9"/>
      <c r="AL29" s="9"/>
      <c r="AM29" s="9"/>
      <c r="AN29" s="1"/>
    </row>
    <row r="30" spans="1:41" ht="16.5" customHeight="1" x14ac:dyDescent="0.25">
      <c r="A30" s="13" t="s">
        <v>60</v>
      </c>
      <c r="B30" s="42"/>
      <c r="C30" s="42"/>
      <c r="D30" s="42"/>
      <c r="E30" s="42"/>
      <c r="F30" s="42"/>
      <c r="G30" s="42"/>
      <c r="H30" s="42"/>
      <c r="I30" s="42"/>
      <c r="J30" s="42"/>
      <c r="K30" s="42"/>
      <c r="L30" s="42"/>
      <c r="M30" s="42"/>
      <c r="N30" s="42"/>
      <c r="O30" s="42"/>
      <c r="P30" s="42"/>
      <c r="Q30" s="42"/>
      <c r="R30" s="42"/>
      <c r="S30" s="42">
        <v>6.61</v>
      </c>
      <c r="T30" s="42">
        <v>6.61</v>
      </c>
      <c r="U30" s="42">
        <v>6.61</v>
      </c>
      <c r="V30" s="42">
        <v>6.61</v>
      </c>
      <c r="W30" s="42">
        <v>6.9</v>
      </c>
      <c r="X30" s="42"/>
      <c r="Y30" s="42">
        <v>7.37</v>
      </c>
      <c r="Z30" s="42"/>
      <c r="AA30" s="42">
        <v>2.75</v>
      </c>
      <c r="AB30" s="42">
        <v>2.75</v>
      </c>
      <c r="AC30" s="9"/>
      <c r="AD30" s="9"/>
      <c r="AE30" s="9"/>
      <c r="AF30" s="9"/>
      <c r="AG30" s="9"/>
      <c r="AH30" s="9"/>
      <c r="AI30" s="9"/>
      <c r="AJ30" s="9"/>
      <c r="AK30" s="9"/>
      <c r="AL30" s="9"/>
      <c r="AM30" s="9"/>
      <c r="AN30" s="1"/>
    </row>
    <row r="31" spans="1:41" ht="16.5" customHeight="1" x14ac:dyDescent="0.25">
      <c r="A31" s="13" t="s">
        <v>61</v>
      </c>
      <c r="B31" s="42"/>
      <c r="C31" s="42"/>
      <c r="D31" s="42"/>
      <c r="E31" s="42"/>
      <c r="F31" s="42"/>
      <c r="G31" s="42"/>
      <c r="H31" s="42"/>
      <c r="I31" s="42"/>
      <c r="J31" s="42"/>
      <c r="K31" s="42"/>
      <c r="L31" s="42"/>
      <c r="M31" s="42"/>
      <c r="N31" s="42"/>
      <c r="O31" s="42"/>
      <c r="P31" s="42"/>
      <c r="Q31" s="42"/>
      <c r="R31" s="42"/>
      <c r="S31" s="42">
        <v>7.99</v>
      </c>
      <c r="T31" s="42">
        <v>7.99</v>
      </c>
      <c r="U31" s="42">
        <v>7.99</v>
      </c>
      <c r="V31" s="42">
        <v>7.99</v>
      </c>
      <c r="W31" s="42">
        <v>8.36</v>
      </c>
      <c r="X31" s="42"/>
      <c r="Y31" s="42">
        <v>9.2200000000000006</v>
      </c>
      <c r="Z31" s="42"/>
      <c r="AA31" s="42">
        <v>3.34</v>
      </c>
      <c r="AB31" s="42">
        <v>3.34</v>
      </c>
      <c r="AC31" s="9"/>
      <c r="AD31" s="9"/>
      <c r="AE31" s="9"/>
      <c r="AF31" s="9"/>
      <c r="AG31" s="9"/>
      <c r="AH31" s="9"/>
      <c r="AI31" s="9"/>
      <c r="AJ31" s="9"/>
      <c r="AK31" s="9"/>
      <c r="AL31" s="9"/>
      <c r="AM31" s="9"/>
      <c r="AN31" s="1"/>
    </row>
    <row r="32" spans="1:41" ht="16.5" customHeight="1" x14ac:dyDescent="0.25">
      <c r="A32" s="13" t="s">
        <v>62</v>
      </c>
      <c r="B32" s="42"/>
      <c r="C32" s="42"/>
      <c r="D32" s="42"/>
      <c r="E32" s="42"/>
      <c r="F32" s="42"/>
      <c r="G32" s="42"/>
      <c r="H32" s="42"/>
      <c r="I32" s="42"/>
      <c r="J32" s="42"/>
      <c r="K32" s="42"/>
      <c r="L32" s="42"/>
      <c r="M32" s="42"/>
      <c r="N32" s="42"/>
      <c r="O32" s="42"/>
      <c r="P32" s="42"/>
      <c r="Q32" s="42"/>
      <c r="R32" s="42"/>
      <c r="S32" s="42">
        <v>7.99</v>
      </c>
      <c r="T32" s="42">
        <v>7.99</v>
      </c>
      <c r="U32" s="42">
        <v>7.99</v>
      </c>
      <c r="V32" s="42">
        <v>7.99</v>
      </c>
      <c r="W32" s="42">
        <v>8.36</v>
      </c>
      <c r="X32" s="42"/>
      <c r="Y32" s="42">
        <v>9.2200000000000006</v>
      </c>
      <c r="Z32" s="42"/>
      <c r="AA32" s="42">
        <v>3.34</v>
      </c>
      <c r="AB32" s="42">
        <v>3.34</v>
      </c>
      <c r="AC32" s="9"/>
      <c r="AD32" s="9"/>
      <c r="AE32" s="9"/>
      <c r="AF32" s="9"/>
      <c r="AG32" s="9"/>
      <c r="AH32" s="9"/>
      <c r="AI32" s="9"/>
      <c r="AJ32" s="9"/>
      <c r="AK32" s="9"/>
      <c r="AL32" s="9"/>
      <c r="AM32" s="9"/>
      <c r="AN32" s="1"/>
    </row>
    <row r="33" spans="1:40" ht="16.5" customHeight="1" x14ac:dyDescent="0.25">
      <c r="A33" s="13" t="s">
        <v>63</v>
      </c>
      <c r="B33" s="42"/>
      <c r="C33" s="42"/>
      <c r="D33" s="42"/>
      <c r="E33" s="42"/>
      <c r="F33" s="42"/>
      <c r="G33" s="42"/>
      <c r="H33" s="42"/>
      <c r="I33" s="42"/>
      <c r="J33" s="42"/>
      <c r="K33" s="42"/>
      <c r="L33" s="42"/>
      <c r="M33" s="42"/>
      <c r="N33" s="42"/>
      <c r="O33" s="42"/>
      <c r="P33" s="42"/>
      <c r="Q33" s="42"/>
      <c r="R33" s="42"/>
      <c r="S33" s="42">
        <v>7.99</v>
      </c>
      <c r="T33" s="42">
        <v>7.99</v>
      </c>
      <c r="U33" s="42">
        <v>7.99</v>
      </c>
      <c r="V33" s="42">
        <v>7.99</v>
      </c>
      <c r="W33" s="42">
        <v>8.36</v>
      </c>
      <c r="X33" s="42"/>
      <c r="Y33" s="42">
        <v>9.2200000000000006</v>
      </c>
      <c r="Z33" s="42"/>
      <c r="AA33" s="42">
        <v>3.34</v>
      </c>
      <c r="AB33" s="42">
        <v>3.34</v>
      </c>
      <c r="AC33" s="9"/>
      <c r="AD33" s="9"/>
      <c r="AE33" s="9"/>
      <c r="AF33" s="9"/>
      <c r="AG33" s="9"/>
      <c r="AH33" s="9"/>
      <c r="AI33" s="9"/>
      <c r="AJ33" s="9"/>
      <c r="AK33" s="9"/>
      <c r="AL33" s="9"/>
      <c r="AM33" s="9"/>
      <c r="AN33" s="1"/>
    </row>
    <row r="34" spans="1:40" ht="16.5" customHeight="1" x14ac:dyDescent="0.25">
      <c r="A34" s="13" t="s">
        <v>64</v>
      </c>
      <c r="B34" s="42"/>
      <c r="C34" s="42"/>
      <c r="D34" s="42"/>
      <c r="E34" s="42"/>
      <c r="F34" s="42"/>
      <c r="G34" s="42"/>
      <c r="H34" s="42"/>
      <c r="I34" s="42"/>
      <c r="J34" s="42"/>
      <c r="K34" s="42"/>
      <c r="L34" s="42"/>
      <c r="M34" s="42"/>
      <c r="N34" s="42"/>
      <c r="O34" s="42"/>
      <c r="P34" s="42"/>
      <c r="Q34" s="42"/>
      <c r="R34" s="42"/>
      <c r="S34" s="42">
        <v>7.99</v>
      </c>
      <c r="T34" s="42">
        <v>7.99</v>
      </c>
      <c r="U34" s="42">
        <v>7.99</v>
      </c>
      <c r="V34" s="42">
        <v>7.99</v>
      </c>
      <c r="W34" s="42">
        <v>8.36</v>
      </c>
      <c r="X34" s="42"/>
      <c r="Y34" s="42">
        <v>9.2200000000000006</v>
      </c>
      <c r="Z34" s="42"/>
      <c r="AA34" s="42">
        <v>3.34</v>
      </c>
      <c r="AB34" s="42">
        <v>3.34</v>
      </c>
      <c r="AC34" s="9"/>
      <c r="AD34" s="9"/>
      <c r="AE34" s="9"/>
      <c r="AF34" s="9"/>
      <c r="AG34" s="9"/>
      <c r="AH34" s="9"/>
      <c r="AI34" s="9"/>
      <c r="AJ34" s="9"/>
      <c r="AK34" s="9"/>
      <c r="AL34" s="9"/>
      <c r="AM34" s="9"/>
      <c r="AN34" s="1"/>
    </row>
    <row r="35" spans="1:40" ht="16.5" customHeight="1" x14ac:dyDescent="0.25">
      <c r="A35" s="13" t="s">
        <v>65</v>
      </c>
      <c r="B35" s="42"/>
      <c r="C35" s="42"/>
      <c r="D35" s="42"/>
      <c r="E35" s="42"/>
      <c r="F35" s="42"/>
      <c r="G35" s="42"/>
      <c r="H35" s="42"/>
      <c r="I35" s="42"/>
      <c r="J35" s="42"/>
      <c r="K35" s="42"/>
      <c r="L35" s="42"/>
      <c r="M35" s="42"/>
      <c r="N35" s="42"/>
      <c r="O35" s="42"/>
      <c r="P35" s="42"/>
      <c r="Q35" s="42"/>
      <c r="R35" s="42"/>
      <c r="S35" s="42">
        <v>6.61</v>
      </c>
      <c r="T35" s="42">
        <v>6.61</v>
      </c>
      <c r="U35" s="42">
        <v>6.61</v>
      </c>
      <c r="V35" s="42">
        <v>6.61</v>
      </c>
      <c r="W35" s="42">
        <v>6.9</v>
      </c>
      <c r="X35" s="42"/>
      <c r="Y35" s="42">
        <v>7.37</v>
      </c>
      <c r="Z35" s="42"/>
      <c r="AA35" s="42">
        <v>2.75</v>
      </c>
      <c r="AB35" s="42">
        <v>2.75</v>
      </c>
      <c r="AC35" s="9"/>
      <c r="AD35" s="9"/>
      <c r="AE35" s="9"/>
      <c r="AF35" s="9"/>
      <c r="AG35" s="9"/>
      <c r="AH35" s="9"/>
      <c r="AI35" s="9"/>
      <c r="AJ35" s="9"/>
      <c r="AK35" s="9"/>
      <c r="AL35" s="9"/>
      <c r="AM35" s="9"/>
      <c r="AN35" s="1"/>
    </row>
    <row r="36" spans="1:40" ht="16.5" customHeight="1" x14ac:dyDescent="0.25">
      <c r="A36" s="13" t="s">
        <v>66</v>
      </c>
      <c r="B36" s="42"/>
      <c r="C36" s="42"/>
      <c r="D36" s="42"/>
      <c r="E36" s="42"/>
      <c r="F36" s="42"/>
      <c r="G36" s="42"/>
      <c r="H36" s="42"/>
      <c r="I36" s="42"/>
      <c r="J36" s="42"/>
      <c r="K36" s="42"/>
      <c r="L36" s="42"/>
      <c r="M36" s="42"/>
      <c r="N36" s="42"/>
      <c r="O36" s="42"/>
      <c r="P36" s="42"/>
      <c r="Q36" s="42"/>
      <c r="R36" s="42"/>
      <c r="S36" s="42">
        <v>6.61</v>
      </c>
      <c r="T36" s="42">
        <v>6.61</v>
      </c>
      <c r="U36" s="42">
        <v>6.61</v>
      </c>
      <c r="V36" s="42">
        <v>6.61</v>
      </c>
      <c r="W36" s="42">
        <v>6.9</v>
      </c>
      <c r="X36" s="42"/>
      <c r="Y36" s="42">
        <v>7.37</v>
      </c>
      <c r="Z36" s="42"/>
      <c r="AA36" s="42">
        <v>2.75</v>
      </c>
      <c r="AB36" s="42">
        <v>2.75</v>
      </c>
      <c r="AC36" s="9"/>
      <c r="AD36" s="9"/>
      <c r="AE36" s="9"/>
      <c r="AF36" s="9"/>
      <c r="AG36" s="9"/>
      <c r="AH36" s="9"/>
      <c r="AI36" s="9"/>
      <c r="AJ36" s="9"/>
      <c r="AK36" s="9"/>
      <c r="AL36" s="9"/>
      <c r="AM36" s="9"/>
      <c r="AN36" s="1"/>
    </row>
    <row r="37" spans="1:40" ht="16.5" customHeight="1" x14ac:dyDescent="0.25">
      <c r="A37" s="13" t="s">
        <v>67</v>
      </c>
      <c r="B37" s="42"/>
      <c r="C37" s="42"/>
      <c r="D37" s="42"/>
      <c r="E37" s="42"/>
      <c r="F37" s="42"/>
      <c r="G37" s="42"/>
      <c r="H37" s="42"/>
      <c r="I37" s="42"/>
      <c r="J37" s="42"/>
      <c r="K37" s="42"/>
      <c r="L37" s="42"/>
      <c r="M37" s="42"/>
      <c r="N37" s="42"/>
      <c r="O37" s="42"/>
      <c r="P37" s="42"/>
      <c r="Q37" s="42"/>
      <c r="R37" s="42"/>
      <c r="S37" s="42">
        <v>6.61</v>
      </c>
      <c r="T37" s="42">
        <v>6.61</v>
      </c>
      <c r="U37" s="42">
        <v>6.61</v>
      </c>
      <c r="V37" s="42">
        <v>6.61</v>
      </c>
      <c r="W37" s="42">
        <v>6.9</v>
      </c>
      <c r="X37" s="42"/>
      <c r="Y37" s="42">
        <v>7.37</v>
      </c>
      <c r="Z37" s="42"/>
      <c r="AA37" s="42">
        <v>2.75</v>
      </c>
      <c r="AB37" s="42">
        <v>2.75</v>
      </c>
      <c r="AC37" s="9"/>
      <c r="AD37" s="9"/>
      <c r="AE37" s="9"/>
      <c r="AF37" s="9"/>
      <c r="AG37" s="9"/>
      <c r="AH37" s="9"/>
      <c r="AI37" s="9"/>
      <c r="AJ37" s="9"/>
      <c r="AK37" s="9"/>
      <c r="AL37" s="9"/>
      <c r="AM37" s="9"/>
      <c r="AN37" s="1"/>
    </row>
    <row r="38" spans="1:40" ht="16.5" customHeight="1" x14ac:dyDescent="0.25">
      <c r="A38" s="13" t="s">
        <v>68</v>
      </c>
      <c r="B38" s="42"/>
      <c r="C38" s="42"/>
      <c r="D38" s="42"/>
      <c r="E38" s="42"/>
      <c r="F38" s="42"/>
      <c r="G38" s="42"/>
      <c r="H38" s="42"/>
      <c r="I38" s="42"/>
      <c r="J38" s="42"/>
      <c r="K38" s="42"/>
      <c r="L38" s="42"/>
      <c r="M38" s="42"/>
      <c r="N38" s="42"/>
      <c r="O38" s="42"/>
      <c r="P38" s="42"/>
      <c r="Q38" s="42"/>
      <c r="R38" s="42"/>
      <c r="S38" s="42">
        <v>6.61</v>
      </c>
      <c r="T38" s="42">
        <v>6.61</v>
      </c>
      <c r="U38" s="42">
        <v>6.61</v>
      </c>
      <c r="V38" s="42">
        <v>6.61</v>
      </c>
      <c r="W38" s="42">
        <v>6.9</v>
      </c>
      <c r="X38" s="42"/>
      <c r="Y38" s="42">
        <v>7.37</v>
      </c>
      <c r="Z38" s="42"/>
      <c r="AA38" s="42">
        <v>2.75</v>
      </c>
      <c r="AB38" s="42">
        <v>2.75</v>
      </c>
      <c r="AC38" s="9"/>
      <c r="AD38" s="9"/>
      <c r="AE38" s="9"/>
      <c r="AF38" s="9"/>
      <c r="AG38" s="9"/>
      <c r="AH38" s="9"/>
      <c r="AI38" s="9"/>
      <c r="AJ38" s="9"/>
      <c r="AK38" s="9"/>
      <c r="AL38" s="9"/>
      <c r="AM38" s="9"/>
      <c r="AN38" s="1"/>
    </row>
    <row r="39" spans="1:40" ht="16.5" customHeight="1" x14ac:dyDescent="0.25">
      <c r="A39" s="13" t="s">
        <v>69</v>
      </c>
      <c r="B39" s="42"/>
      <c r="C39" s="42"/>
      <c r="D39" s="42"/>
      <c r="E39" s="42"/>
      <c r="F39" s="42"/>
      <c r="G39" s="42"/>
      <c r="H39" s="42"/>
      <c r="I39" s="42"/>
      <c r="J39" s="42"/>
      <c r="K39" s="42"/>
      <c r="L39" s="42"/>
      <c r="M39" s="42"/>
      <c r="N39" s="42"/>
      <c r="O39" s="42"/>
      <c r="P39" s="42"/>
      <c r="Q39" s="42"/>
      <c r="R39" s="42"/>
      <c r="S39" s="42"/>
      <c r="T39" s="42"/>
      <c r="U39" s="42"/>
      <c r="V39" s="42"/>
      <c r="W39" s="42">
        <v>1.47</v>
      </c>
      <c r="X39" s="42">
        <v>1.47</v>
      </c>
      <c r="Y39" s="42"/>
      <c r="Z39" s="42">
        <v>1.47</v>
      </c>
      <c r="AA39" s="42"/>
      <c r="AB39" s="42"/>
      <c r="AC39" s="9"/>
      <c r="AD39" s="9"/>
      <c r="AE39" s="9"/>
      <c r="AF39" s="9"/>
      <c r="AG39" s="9"/>
      <c r="AH39" s="9"/>
      <c r="AI39" s="9"/>
      <c r="AJ39" s="9"/>
      <c r="AK39" s="9"/>
      <c r="AL39" s="9"/>
      <c r="AM39" s="9"/>
      <c r="AN39" s="1"/>
    </row>
    <row r="40" spans="1:40" ht="16.5" customHeight="1" x14ac:dyDescent="0.25">
      <c r="A40" s="13" t="s">
        <v>70</v>
      </c>
      <c r="B40" s="42"/>
      <c r="C40" s="42"/>
      <c r="D40" s="42"/>
      <c r="E40" s="42"/>
      <c r="F40" s="42"/>
      <c r="G40" s="42"/>
      <c r="H40" s="42"/>
      <c r="I40" s="42"/>
      <c r="J40" s="42"/>
      <c r="K40" s="42"/>
      <c r="L40" s="42"/>
      <c r="M40" s="42"/>
      <c r="N40" s="42"/>
      <c r="O40" s="42"/>
      <c r="P40" s="42"/>
      <c r="Q40" s="42"/>
      <c r="R40" s="42"/>
      <c r="S40" s="42"/>
      <c r="T40" s="42"/>
      <c r="U40" s="42"/>
      <c r="V40" s="42"/>
      <c r="W40" s="42">
        <v>1.34</v>
      </c>
      <c r="X40" s="42">
        <v>1.34</v>
      </c>
      <c r="Y40" s="42"/>
      <c r="Z40" s="42">
        <v>1.34</v>
      </c>
      <c r="AA40" s="42"/>
      <c r="AB40" s="42"/>
      <c r="AC40" s="9"/>
      <c r="AD40" s="9"/>
      <c r="AE40" s="9"/>
      <c r="AF40" s="9"/>
      <c r="AG40" s="9"/>
      <c r="AH40" s="9"/>
      <c r="AI40" s="9"/>
      <c r="AJ40" s="9"/>
      <c r="AK40" s="9"/>
      <c r="AL40" s="9"/>
      <c r="AM40" s="9"/>
      <c r="AN40" s="1"/>
    </row>
    <row r="41" spans="1:40" ht="16.5" customHeight="1" x14ac:dyDescent="0.25">
      <c r="A41" s="13" t="s">
        <v>71</v>
      </c>
      <c r="B41" s="42"/>
      <c r="C41" s="42"/>
      <c r="D41" s="42"/>
      <c r="E41" s="42"/>
      <c r="F41" s="42"/>
      <c r="G41" s="42"/>
      <c r="H41" s="42"/>
      <c r="I41" s="42"/>
      <c r="J41" s="42"/>
      <c r="K41" s="42"/>
      <c r="L41" s="42"/>
      <c r="M41" s="42"/>
      <c r="N41" s="42"/>
      <c r="O41" s="42"/>
      <c r="P41" s="42"/>
      <c r="Q41" s="42"/>
      <c r="R41" s="42"/>
      <c r="S41" s="42">
        <v>3.82</v>
      </c>
      <c r="T41" s="42">
        <v>3.82</v>
      </c>
      <c r="U41" s="42">
        <v>3.82</v>
      </c>
      <c r="V41" s="42">
        <v>3.82</v>
      </c>
      <c r="W41" s="42">
        <v>4.16</v>
      </c>
      <c r="X41" s="42">
        <v>4.49</v>
      </c>
      <c r="Y41" s="42">
        <v>5.0999999999999996</v>
      </c>
      <c r="Z41" s="42"/>
      <c r="AA41" s="42">
        <v>2.44</v>
      </c>
      <c r="AB41" s="42">
        <v>2.44</v>
      </c>
      <c r="AC41" s="9"/>
      <c r="AD41" s="9"/>
      <c r="AE41" s="9"/>
      <c r="AF41" s="9"/>
      <c r="AG41" s="9"/>
      <c r="AH41" s="9"/>
      <c r="AI41" s="9"/>
      <c r="AJ41" s="9"/>
      <c r="AK41" s="9"/>
      <c r="AL41" s="9"/>
      <c r="AM41" s="9"/>
      <c r="AN41" s="1"/>
    </row>
    <row r="42" spans="1:40" ht="16.5" customHeight="1" x14ac:dyDescent="0.25">
      <c r="A42" s="13" t="s">
        <v>72</v>
      </c>
      <c r="B42" s="42"/>
      <c r="C42" s="42"/>
      <c r="D42" s="42"/>
      <c r="E42" s="42"/>
      <c r="F42" s="42"/>
      <c r="G42" s="42"/>
      <c r="H42" s="42"/>
      <c r="I42" s="42"/>
      <c r="J42" s="42"/>
      <c r="K42" s="42"/>
      <c r="L42" s="42"/>
      <c r="M42" s="42"/>
      <c r="N42" s="42"/>
      <c r="O42" s="42"/>
      <c r="P42" s="42"/>
      <c r="Q42" s="42"/>
      <c r="R42" s="42"/>
      <c r="S42" s="42">
        <v>2.99</v>
      </c>
      <c r="T42" s="42">
        <v>2.99</v>
      </c>
      <c r="U42" s="42">
        <v>2.99</v>
      </c>
      <c r="V42" s="42">
        <v>2.99</v>
      </c>
      <c r="W42" s="42">
        <v>3.56</v>
      </c>
      <c r="X42" s="42">
        <v>3.56</v>
      </c>
      <c r="Y42" s="42">
        <v>3.83</v>
      </c>
      <c r="Z42" s="42"/>
      <c r="AA42" s="42">
        <v>2.0099999999999998</v>
      </c>
      <c r="AB42" s="42">
        <v>2.0099999999999998</v>
      </c>
      <c r="AC42" s="9"/>
      <c r="AD42" s="9"/>
      <c r="AE42" s="9"/>
      <c r="AF42" s="9"/>
      <c r="AG42" s="9"/>
      <c r="AH42" s="9"/>
      <c r="AI42" s="9"/>
      <c r="AJ42" s="9"/>
      <c r="AK42" s="9"/>
      <c r="AL42" s="9"/>
      <c r="AM42" s="9"/>
      <c r="AN42" s="1"/>
    </row>
    <row r="43" spans="1:40" ht="16.5" customHeight="1" x14ac:dyDescent="0.25">
      <c r="A43" s="13" t="s">
        <v>73</v>
      </c>
      <c r="B43" s="42"/>
      <c r="C43" s="42"/>
      <c r="D43" s="42"/>
      <c r="E43" s="42"/>
      <c r="F43" s="42"/>
      <c r="G43" s="42"/>
      <c r="H43" s="42"/>
      <c r="I43" s="42"/>
      <c r="J43" s="42"/>
      <c r="K43" s="42"/>
      <c r="L43" s="42"/>
      <c r="M43" s="42"/>
      <c r="N43" s="42"/>
      <c r="O43" s="42"/>
      <c r="P43" s="42"/>
      <c r="Q43" s="42"/>
      <c r="R43" s="42"/>
      <c r="S43" s="42"/>
      <c r="T43" s="42"/>
      <c r="U43" s="42"/>
      <c r="V43" s="42"/>
      <c r="W43" s="42">
        <v>1.55</v>
      </c>
      <c r="X43" s="42">
        <v>1.55</v>
      </c>
      <c r="Y43" s="44"/>
      <c r="Z43" s="42">
        <v>1.55</v>
      </c>
      <c r="AA43" s="44"/>
      <c r="AB43" s="44"/>
      <c r="AC43" s="9"/>
      <c r="AD43" s="9"/>
      <c r="AE43" s="9"/>
      <c r="AF43" s="9"/>
      <c r="AG43" s="9"/>
      <c r="AH43" s="9"/>
      <c r="AI43" s="9"/>
      <c r="AJ43" s="9"/>
      <c r="AK43" s="9"/>
      <c r="AL43" s="9"/>
      <c r="AM43" s="9"/>
      <c r="AN43" s="1"/>
    </row>
    <row r="44" spans="1:40" ht="16.5" customHeight="1" x14ac:dyDescent="0.25">
      <c r="A44" s="13" t="s">
        <v>74</v>
      </c>
      <c r="B44" s="42"/>
      <c r="C44" s="42"/>
      <c r="D44" s="42"/>
      <c r="E44" s="42"/>
      <c r="F44" s="42"/>
      <c r="G44" s="42"/>
      <c r="H44" s="42"/>
      <c r="I44" s="42"/>
      <c r="J44" s="42"/>
      <c r="K44" s="42"/>
      <c r="L44" s="42"/>
      <c r="M44" s="42"/>
      <c r="N44" s="42"/>
      <c r="O44" s="42"/>
      <c r="P44" s="42"/>
      <c r="Q44" s="42"/>
      <c r="R44" s="42"/>
      <c r="S44" s="42"/>
      <c r="T44" s="42"/>
      <c r="U44" s="42"/>
      <c r="V44" s="42"/>
      <c r="W44" s="42">
        <v>1.43</v>
      </c>
      <c r="X44" s="42">
        <v>1.43</v>
      </c>
      <c r="Y44" s="44"/>
      <c r="Z44" s="42">
        <v>1.43</v>
      </c>
      <c r="AA44" s="44"/>
      <c r="AB44" s="44"/>
      <c r="AC44" s="9"/>
      <c r="AD44" s="9"/>
      <c r="AE44" s="9"/>
      <c r="AF44" s="9"/>
      <c r="AG44" s="9"/>
      <c r="AH44" s="9"/>
      <c r="AI44" s="9"/>
      <c r="AJ44" s="9"/>
      <c r="AK44" s="9"/>
      <c r="AL44" s="9"/>
      <c r="AM44" s="9"/>
      <c r="AN44" s="1"/>
    </row>
    <row r="45" spans="1:40" ht="16.5" customHeight="1" x14ac:dyDescent="0.25">
      <c r="A45" s="13" t="s">
        <v>75</v>
      </c>
      <c r="B45" s="42"/>
      <c r="C45" s="42"/>
      <c r="D45" s="42"/>
      <c r="E45" s="42"/>
      <c r="F45" s="42"/>
      <c r="G45" s="42"/>
      <c r="H45" s="42"/>
      <c r="I45" s="42"/>
      <c r="J45" s="42"/>
      <c r="K45" s="42"/>
      <c r="L45" s="42"/>
      <c r="M45" s="42"/>
      <c r="N45" s="42"/>
      <c r="O45" s="42"/>
      <c r="P45" s="42"/>
      <c r="Q45" s="42"/>
      <c r="R45" s="42"/>
      <c r="S45" s="42">
        <v>4.07</v>
      </c>
      <c r="T45" s="42">
        <v>4.07</v>
      </c>
      <c r="U45" s="42">
        <v>4.07</v>
      </c>
      <c r="V45" s="42">
        <v>4.07</v>
      </c>
      <c r="W45" s="42">
        <v>4.0199999999999996</v>
      </c>
      <c r="X45" s="42">
        <v>4.0199999999999996</v>
      </c>
      <c r="Y45" s="42">
        <v>4.5599999999999996</v>
      </c>
      <c r="Z45" s="42"/>
      <c r="AA45" s="42">
        <v>2.04</v>
      </c>
      <c r="AB45" s="42">
        <v>2.04</v>
      </c>
      <c r="AC45" s="9"/>
      <c r="AD45" s="9"/>
      <c r="AE45" s="9"/>
      <c r="AF45" s="9"/>
      <c r="AG45" s="9"/>
      <c r="AH45" s="9"/>
      <c r="AI45" s="9"/>
      <c r="AJ45" s="9"/>
      <c r="AK45" s="9"/>
      <c r="AL45" s="9"/>
      <c r="AM45" s="9"/>
      <c r="AN45" s="1"/>
    </row>
    <row r="46" spans="1:40" ht="16.5" customHeight="1" x14ac:dyDescent="0.25">
      <c r="A46" s="13" t="s">
        <v>76</v>
      </c>
      <c r="B46" s="42"/>
      <c r="C46" s="42"/>
      <c r="D46" s="42"/>
      <c r="E46" s="42"/>
      <c r="F46" s="42"/>
      <c r="G46" s="42"/>
      <c r="H46" s="42"/>
      <c r="I46" s="42"/>
      <c r="J46" s="42"/>
      <c r="K46" s="42"/>
      <c r="L46" s="42"/>
      <c r="M46" s="42"/>
      <c r="N46" s="42"/>
      <c r="O46" s="42"/>
      <c r="P46" s="42"/>
      <c r="Q46" s="42"/>
      <c r="R46" s="42"/>
      <c r="S46" s="42">
        <v>3.17</v>
      </c>
      <c r="T46" s="42">
        <v>3.17</v>
      </c>
      <c r="U46" s="42">
        <v>3.17</v>
      </c>
      <c r="V46" s="42">
        <v>3.17</v>
      </c>
      <c r="W46" s="42">
        <v>3.52</v>
      </c>
      <c r="X46" s="42">
        <v>3.52</v>
      </c>
      <c r="Y46" s="42">
        <v>4.03</v>
      </c>
      <c r="Z46" s="42"/>
      <c r="AA46" s="42">
        <v>1.81</v>
      </c>
      <c r="AB46" s="42">
        <v>1.81</v>
      </c>
      <c r="AC46" s="9"/>
      <c r="AD46" s="9"/>
      <c r="AE46" s="9"/>
      <c r="AF46" s="9"/>
      <c r="AG46" s="9"/>
      <c r="AH46" s="9"/>
      <c r="AI46" s="9"/>
      <c r="AJ46" s="9"/>
      <c r="AK46" s="9"/>
      <c r="AL46" s="9"/>
      <c r="AM46" s="9"/>
      <c r="AN46" s="1"/>
    </row>
    <row r="47" spans="1:40" ht="16.5" customHeight="1" x14ac:dyDescent="0.25">
      <c r="A47" s="13" t="s">
        <v>77</v>
      </c>
      <c r="B47" s="42"/>
      <c r="C47" s="42"/>
      <c r="D47" s="42"/>
      <c r="E47" s="42"/>
      <c r="F47" s="42"/>
      <c r="G47" s="42"/>
      <c r="H47" s="42"/>
      <c r="I47" s="42"/>
      <c r="J47" s="42"/>
      <c r="K47" s="42"/>
      <c r="L47" s="42"/>
      <c r="M47" s="42"/>
      <c r="N47" s="42"/>
      <c r="O47" s="42"/>
      <c r="P47" s="42"/>
      <c r="Q47" s="42"/>
      <c r="R47" s="42"/>
      <c r="S47" s="42">
        <v>6.79</v>
      </c>
      <c r="T47" s="42">
        <v>6.79</v>
      </c>
      <c r="U47" s="42">
        <v>6.79</v>
      </c>
      <c r="V47" s="42">
        <v>6.79</v>
      </c>
      <c r="W47" s="42">
        <v>4.12</v>
      </c>
      <c r="X47" s="42">
        <v>4.82</v>
      </c>
      <c r="Y47" s="42">
        <v>5.2</v>
      </c>
      <c r="Z47" s="42"/>
      <c r="AA47" s="42">
        <v>2.52</v>
      </c>
      <c r="AB47" s="42">
        <v>2.52</v>
      </c>
      <c r="AC47" s="9"/>
      <c r="AD47" s="9"/>
      <c r="AE47" s="9"/>
      <c r="AF47" s="9"/>
      <c r="AG47" s="9"/>
      <c r="AH47" s="9"/>
      <c r="AI47" s="9"/>
      <c r="AJ47" s="9"/>
      <c r="AK47" s="9"/>
      <c r="AL47" s="9"/>
      <c r="AM47" s="9"/>
      <c r="AN47" s="1"/>
    </row>
    <row r="48" spans="1:40" ht="16.5" customHeight="1" x14ac:dyDescent="0.25">
      <c r="A48" s="13" t="s">
        <v>78</v>
      </c>
      <c r="B48" s="42"/>
      <c r="C48" s="42"/>
      <c r="D48" s="42"/>
      <c r="E48" s="42"/>
      <c r="F48" s="42"/>
      <c r="G48" s="42"/>
      <c r="H48" s="42"/>
      <c r="I48" s="42"/>
      <c r="J48" s="42"/>
      <c r="K48" s="42"/>
      <c r="L48" s="42"/>
      <c r="M48" s="42"/>
      <c r="N48" s="42"/>
      <c r="O48" s="42"/>
      <c r="P48" s="42"/>
      <c r="Q48" s="42"/>
      <c r="R48" s="42"/>
      <c r="S48" s="42">
        <v>7.43</v>
      </c>
      <c r="T48" s="42">
        <v>7.43</v>
      </c>
      <c r="U48" s="42">
        <v>7.43</v>
      </c>
      <c r="V48" s="42">
        <v>7.43</v>
      </c>
      <c r="W48" s="42">
        <v>6.08</v>
      </c>
      <c r="X48" s="42">
        <v>6.93</v>
      </c>
      <c r="Y48" s="42">
        <v>7.55</v>
      </c>
      <c r="Z48" s="42"/>
      <c r="AA48" s="42">
        <v>3.02</v>
      </c>
      <c r="AB48" s="42">
        <v>3.02</v>
      </c>
      <c r="AC48" s="9"/>
      <c r="AD48" s="9"/>
      <c r="AE48" s="9"/>
      <c r="AF48" s="9"/>
      <c r="AG48" s="9"/>
      <c r="AH48" s="9"/>
      <c r="AI48" s="9"/>
      <c r="AJ48" s="9"/>
      <c r="AK48" s="9"/>
      <c r="AL48" s="9"/>
      <c r="AM48" s="9"/>
      <c r="AN48" s="1"/>
    </row>
    <row r="49" spans="1:40" ht="16.5" customHeight="1" x14ac:dyDescent="0.25">
      <c r="A49" s="13" t="s">
        <v>79</v>
      </c>
      <c r="B49" s="42"/>
      <c r="C49" s="42"/>
      <c r="D49" s="42"/>
      <c r="E49" s="42"/>
      <c r="F49" s="42"/>
      <c r="G49" s="42"/>
      <c r="H49" s="42"/>
      <c r="I49" s="42"/>
      <c r="J49" s="42"/>
      <c r="K49" s="42"/>
      <c r="L49" s="42"/>
      <c r="M49" s="42"/>
      <c r="N49" s="42"/>
      <c r="O49" s="42"/>
      <c r="P49" s="42"/>
      <c r="Q49" s="42"/>
      <c r="R49" s="42"/>
      <c r="S49" s="42">
        <v>8.42</v>
      </c>
      <c r="T49" s="42">
        <v>8.42</v>
      </c>
      <c r="U49" s="42">
        <v>8.42</v>
      </c>
      <c r="V49" s="42">
        <v>8.42</v>
      </c>
      <c r="W49" s="42">
        <v>8.08</v>
      </c>
      <c r="X49" s="42">
        <v>9.33</v>
      </c>
      <c r="Y49" s="42">
        <v>10.65</v>
      </c>
      <c r="Z49" s="42"/>
      <c r="AA49" s="42">
        <v>3.06</v>
      </c>
      <c r="AB49" s="42">
        <v>3.06</v>
      </c>
      <c r="AC49" s="9"/>
      <c r="AD49" s="9"/>
      <c r="AE49" s="9"/>
      <c r="AF49" s="9"/>
      <c r="AG49" s="9"/>
      <c r="AH49" s="9"/>
      <c r="AI49" s="9"/>
      <c r="AJ49" s="9"/>
      <c r="AK49" s="9"/>
      <c r="AL49" s="9"/>
      <c r="AM49" s="9"/>
      <c r="AN49" s="1"/>
    </row>
    <row r="50" spans="1:40" ht="16.5" customHeight="1" x14ac:dyDescent="0.25">
      <c r="A50" s="13"/>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1"/>
    </row>
    <row r="51" spans="1:40" x14ac:dyDescent="0.25">
      <c r="A51" s="20" t="s">
        <v>80</v>
      </c>
      <c r="B51" s="9" t="s">
        <v>53</v>
      </c>
      <c r="C51" s="9" t="s">
        <v>54</v>
      </c>
      <c r="D51" s="9" t="s">
        <v>55</v>
      </c>
      <c r="E51" s="9" t="s">
        <v>56</v>
      </c>
      <c r="F51" s="9" t="s">
        <v>57</v>
      </c>
      <c r="G51" s="9" t="s">
        <v>58</v>
      </c>
      <c r="H51" s="9" t="s">
        <v>59</v>
      </c>
      <c r="I51" s="9" t="s">
        <v>60</v>
      </c>
      <c r="J51" s="9" t="s">
        <v>61</v>
      </c>
      <c r="K51" s="9" t="s">
        <v>62</v>
      </c>
      <c r="L51" s="9" t="s">
        <v>63</v>
      </c>
      <c r="M51" s="9" t="s">
        <v>64</v>
      </c>
      <c r="N51" s="9" t="s">
        <v>65</v>
      </c>
      <c r="O51" s="9" t="s">
        <v>66</v>
      </c>
      <c r="P51" s="9" t="s">
        <v>67</v>
      </c>
      <c r="Q51" s="9" t="s">
        <v>68</v>
      </c>
      <c r="R51" s="9" t="s">
        <v>69</v>
      </c>
      <c r="S51" s="9" t="s">
        <v>70</v>
      </c>
      <c r="T51" s="9" t="s">
        <v>71</v>
      </c>
      <c r="U51" s="9" t="s">
        <v>72</v>
      </c>
      <c r="V51" s="9" t="s">
        <v>73</v>
      </c>
      <c r="W51" s="9" t="s">
        <v>74</v>
      </c>
      <c r="X51" s="9" t="s">
        <v>75</v>
      </c>
      <c r="Y51" s="9" t="s">
        <v>76</v>
      </c>
      <c r="Z51" s="9" t="s">
        <v>77</v>
      </c>
      <c r="AA51" s="9" t="s">
        <v>78</v>
      </c>
      <c r="AB51" s="9" t="s">
        <v>79</v>
      </c>
    </row>
    <row r="52" spans="1:40" x14ac:dyDescent="0.25">
      <c r="A52" s="13" t="s">
        <v>81</v>
      </c>
      <c r="B52" s="43">
        <v>84</v>
      </c>
      <c r="C52" s="43">
        <v>54</v>
      </c>
      <c r="D52" s="43">
        <v>119</v>
      </c>
      <c r="E52" s="43">
        <v>36</v>
      </c>
      <c r="F52" s="43">
        <v>365</v>
      </c>
      <c r="G52" s="43">
        <v>119</v>
      </c>
      <c r="H52" s="42">
        <v>365</v>
      </c>
      <c r="I52" s="42">
        <v>365</v>
      </c>
      <c r="J52" s="42">
        <v>365</v>
      </c>
      <c r="K52" s="42">
        <v>365</v>
      </c>
      <c r="L52" s="42">
        <v>365</v>
      </c>
      <c r="M52" s="42">
        <v>365</v>
      </c>
      <c r="N52" s="42">
        <v>365</v>
      </c>
      <c r="O52" s="42">
        <v>365</v>
      </c>
      <c r="P52" s="42">
        <v>365</v>
      </c>
      <c r="Q52" s="42">
        <v>365</v>
      </c>
      <c r="R52" s="42">
        <v>365</v>
      </c>
      <c r="S52" s="42">
        <v>365</v>
      </c>
      <c r="T52" s="42">
        <v>365</v>
      </c>
      <c r="U52" s="42">
        <v>365</v>
      </c>
      <c r="V52" s="42">
        <v>365</v>
      </c>
      <c r="W52" s="42">
        <v>365</v>
      </c>
      <c r="X52" s="42">
        <v>365</v>
      </c>
      <c r="Y52" s="42">
        <v>365</v>
      </c>
      <c r="Z52" s="42">
        <v>365</v>
      </c>
      <c r="AA52" s="42">
        <v>365</v>
      </c>
      <c r="AB52" s="42">
        <v>365</v>
      </c>
    </row>
    <row r="53" spans="1:40" ht="16.5" customHeight="1" x14ac:dyDescent="0.25">
      <c r="A53" s="18" t="s">
        <v>82</v>
      </c>
      <c r="B53" s="45">
        <f>B67-B66</f>
        <v>84</v>
      </c>
      <c r="C53" s="45">
        <f>C67-C66</f>
        <v>24.3</v>
      </c>
      <c r="D53" s="45">
        <f t="shared" ref="D53:G53" si="0">D67-D66</f>
        <v>0</v>
      </c>
      <c r="E53" s="45">
        <f t="shared" si="0"/>
        <v>0</v>
      </c>
      <c r="F53" s="45">
        <f t="shared" si="0"/>
        <v>0</v>
      </c>
      <c r="G53" s="45">
        <f t="shared" si="0"/>
        <v>0</v>
      </c>
      <c r="H53" s="45">
        <f>H67-H66</f>
        <v>40</v>
      </c>
      <c r="I53" s="45">
        <f t="shared" ref="I53:AB53" si="1">I67-I66</f>
        <v>20</v>
      </c>
      <c r="J53" s="45">
        <f t="shared" si="1"/>
        <v>40</v>
      </c>
      <c r="K53" s="45">
        <f t="shared" si="1"/>
        <v>40</v>
      </c>
      <c r="L53" s="45">
        <f t="shared" si="1"/>
        <v>40</v>
      </c>
      <c r="M53" s="45">
        <f t="shared" si="1"/>
        <v>40</v>
      </c>
      <c r="N53" s="45">
        <f t="shared" si="1"/>
        <v>20</v>
      </c>
      <c r="O53" s="45">
        <f t="shared" si="1"/>
        <v>20</v>
      </c>
      <c r="P53" s="45">
        <f t="shared" si="1"/>
        <v>20</v>
      </c>
      <c r="Q53" s="45">
        <f t="shared" si="1"/>
        <v>20</v>
      </c>
      <c r="R53" s="45">
        <f t="shared" si="1"/>
        <v>128</v>
      </c>
      <c r="S53" s="45">
        <f t="shared" si="1"/>
        <v>96</v>
      </c>
      <c r="T53" s="45">
        <f t="shared" si="1"/>
        <v>447</v>
      </c>
      <c r="U53" s="45">
        <f t="shared" si="1"/>
        <v>303</v>
      </c>
      <c r="V53" s="45">
        <f t="shared" si="1"/>
        <v>180</v>
      </c>
      <c r="W53" s="45">
        <f t="shared" si="1"/>
        <v>120</v>
      </c>
      <c r="X53" s="45">
        <f t="shared" si="1"/>
        <v>220</v>
      </c>
      <c r="Y53" s="45">
        <f t="shared" si="1"/>
        <v>183</v>
      </c>
      <c r="Z53" s="45">
        <f t="shared" si="1"/>
        <v>0</v>
      </c>
      <c r="AA53" s="45">
        <f t="shared" si="1"/>
        <v>0</v>
      </c>
      <c r="AB53" s="45">
        <f t="shared" si="1"/>
        <v>0</v>
      </c>
    </row>
    <row r="54" spans="1:40" ht="16.5" customHeight="1" x14ac:dyDescent="0.25">
      <c r="A54" s="13" t="s">
        <v>83</v>
      </c>
      <c r="B54" s="46">
        <v>2.64</v>
      </c>
      <c r="C54" s="47">
        <v>1.8</v>
      </c>
      <c r="D54" s="47">
        <v>1</v>
      </c>
      <c r="E54" s="47">
        <v>1</v>
      </c>
      <c r="F54" s="47">
        <v>1</v>
      </c>
      <c r="G54" s="47">
        <v>1</v>
      </c>
      <c r="H54" s="48"/>
      <c r="I54" s="48"/>
      <c r="J54" s="48"/>
      <c r="K54" s="48"/>
      <c r="L54" s="48"/>
      <c r="M54" s="48"/>
      <c r="N54" s="48"/>
      <c r="O54" s="48"/>
      <c r="P54" s="48"/>
      <c r="Q54" s="48"/>
      <c r="R54" s="48"/>
      <c r="S54" s="48"/>
      <c r="T54" s="48"/>
      <c r="U54" s="48"/>
      <c r="V54" s="48"/>
      <c r="W54" s="48"/>
      <c r="X54" s="48"/>
      <c r="Y54" s="48"/>
      <c r="Z54" s="48"/>
      <c r="AA54" s="48"/>
      <c r="AB54" s="48"/>
    </row>
    <row r="55" spans="1:40" ht="16.5" customHeight="1" x14ac:dyDescent="0.25">
      <c r="A55" s="13" t="s">
        <v>84</v>
      </c>
      <c r="B55" s="46">
        <v>1</v>
      </c>
      <c r="C55" s="47">
        <v>1</v>
      </c>
      <c r="D55" s="47">
        <f>972.79/285*365.124</f>
        <v>1246.277108631579</v>
      </c>
      <c r="E55" s="47">
        <f>538.39/(80.124)*365.124</f>
        <v>2453.4360536168942</v>
      </c>
      <c r="F55" s="49">
        <v>1211</v>
      </c>
      <c r="G55" s="47">
        <v>1211</v>
      </c>
      <c r="H55" s="48"/>
      <c r="I55" s="48"/>
      <c r="J55" s="48"/>
      <c r="K55" s="48"/>
      <c r="L55" s="48"/>
      <c r="M55" s="48"/>
      <c r="N55" s="48"/>
      <c r="O55" s="48"/>
      <c r="P55" s="48"/>
      <c r="Q55" s="48"/>
      <c r="R55" s="48">
        <v>1047</v>
      </c>
      <c r="S55" s="48">
        <v>785</v>
      </c>
      <c r="T55" s="48">
        <v>2094</v>
      </c>
      <c r="U55" s="48">
        <v>1571</v>
      </c>
      <c r="V55" s="48">
        <f>2*665</f>
        <v>1330</v>
      </c>
      <c r="W55" s="48">
        <f>2*470</f>
        <v>940</v>
      </c>
      <c r="X55" s="48">
        <f>1234*365/200</f>
        <v>2252.0500000000002</v>
      </c>
      <c r="Y55" s="48">
        <f>979 * 365/200</f>
        <v>1786.675</v>
      </c>
      <c r="Z55" s="48">
        <v>1525</v>
      </c>
      <c r="AA55" s="48">
        <v>2207</v>
      </c>
      <c r="AB55" s="48">
        <v>2502</v>
      </c>
    </row>
    <row r="56" spans="1:40" ht="16.5" customHeight="1" x14ac:dyDescent="0.25">
      <c r="A56" s="18" t="s">
        <v>85</v>
      </c>
      <c r="B56" s="46">
        <v>1.04</v>
      </c>
      <c r="C56" s="47">
        <v>1.1000000000000001</v>
      </c>
      <c r="D56" s="47">
        <v>1.02</v>
      </c>
      <c r="E56" s="47">
        <v>1.02</v>
      </c>
      <c r="F56" s="47">
        <v>1.02</v>
      </c>
      <c r="G56" s="47">
        <v>1.02</v>
      </c>
      <c r="H56" s="42"/>
      <c r="I56" s="42"/>
      <c r="J56" s="42"/>
      <c r="K56" s="42"/>
      <c r="L56" s="42"/>
      <c r="M56" s="42"/>
      <c r="N56" s="42"/>
      <c r="O56" s="42"/>
      <c r="P56" s="42"/>
      <c r="Q56" s="42"/>
      <c r="R56" s="42"/>
      <c r="S56" s="42"/>
      <c r="T56" s="42"/>
      <c r="U56" s="42"/>
      <c r="V56" s="42"/>
      <c r="W56" s="42"/>
      <c r="X56" s="42"/>
      <c r="Y56" s="42"/>
      <c r="Z56" s="42"/>
      <c r="AA56" s="42"/>
      <c r="AB56" s="42"/>
    </row>
    <row r="57" spans="1:40" ht="16.5" customHeight="1" x14ac:dyDescent="0.25">
      <c r="A57" s="18" t="s">
        <v>86</v>
      </c>
      <c r="B57" s="50"/>
      <c r="C57" s="51"/>
      <c r="D57" s="51"/>
      <c r="E57" s="51"/>
      <c r="F57" s="51"/>
      <c r="G57" s="51"/>
      <c r="H57" s="42">
        <v>0.95</v>
      </c>
      <c r="I57" s="42">
        <v>0.97</v>
      </c>
      <c r="J57" s="42">
        <v>0.95</v>
      </c>
      <c r="K57" s="42">
        <v>0.95</v>
      </c>
      <c r="L57" s="42">
        <v>0.95</v>
      </c>
      <c r="M57" s="42">
        <v>0.95</v>
      </c>
      <c r="N57" s="42">
        <v>0.97</v>
      </c>
      <c r="O57" s="42">
        <v>0.97</v>
      </c>
      <c r="P57" s="42">
        <v>0.97</v>
      </c>
      <c r="Q57" s="42">
        <v>0.97</v>
      </c>
      <c r="R57" s="42">
        <v>0.92</v>
      </c>
      <c r="S57" s="42">
        <v>0.92</v>
      </c>
      <c r="T57" s="42">
        <v>0.80200000000000005</v>
      </c>
      <c r="U57" s="42">
        <v>0.80200000000000005</v>
      </c>
      <c r="V57" s="42">
        <v>1</v>
      </c>
      <c r="W57" s="42">
        <v>1</v>
      </c>
      <c r="X57" s="42">
        <v>1</v>
      </c>
      <c r="Y57" s="42">
        <v>1</v>
      </c>
      <c r="Z57" s="42">
        <v>0.73</v>
      </c>
      <c r="AA57" s="42">
        <v>0.73</v>
      </c>
      <c r="AB57" s="42">
        <v>0.73</v>
      </c>
    </row>
    <row r="58" spans="1:40" x14ac:dyDescent="0.25">
      <c r="A58" s="13" t="s">
        <v>87</v>
      </c>
      <c r="B58" s="45"/>
      <c r="C58" s="45"/>
      <c r="D58" s="45"/>
      <c r="E58" s="45"/>
      <c r="F58" s="45"/>
      <c r="G58" s="45"/>
      <c r="H58" s="42">
        <v>8480</v>
      </c>
      <c r="I58" s="42">
        <v>6847</v>
      </c>
      <c r="J58" s="52">
        <f>$H58*4263*365/J72/7424</f>
        <v>10579.296875</v>
      </c>
      <c r="K58" s="52">
        <f>$H58*1646*365/K72/7424</f>
        <v>8912.3012763098977</v>
      </c>
      <c r="L58" s="52">
        <f>$H58*1128*365/L72/7424</f>
        <v>6718.3374384236449</v>
      </c>
      <c r="M58" s="52">
        <f>$H58*387*365/M72/7424</f>
        <v>3226.9461206896553</v>
      </c>
      <c r="N58" s="52">
        <f>$I58*3621*365/N72/6209</f>
        <v>8675.4253186618498</v>
      </c>
      <c r="O58" s="52">
        <f>$I58*1354*365/O72/6209</f>
        <v>7077.8193154888277</v>
      </c>
      <c r="P58" s="52">
        <f>$I58*954*365/P72/6209</f>
        <v>5485.5713365391248</v>
      </c>
      <c r="Q58" s="52">
        <f>$I58*281*365/Q72/6209</f>
        <v>2262.0794169753581</v>
      </c>
      <c r="R58" s="52">
        <f>R55/R57</f>
        <v>1138.0434782608695</v>
      </c>
      <c r="S58" s="52">
        <f>S55/S57</f>
        <v>853.26086956521738</v>
      </c>
      <c r="T58" s="52">
        <f>T55/T57</f>
        <v>2610.9725685785534</v>
      </c>
      <c r="U58" s="52">
        <f>U55/U57</f>
        <v>1958.8528678304237</v>
      </c>
      <c r="V58" s="52">
        <f t="shared" ref="V58:AB58" si="2">V55/V57</f>
        <v>1330</v>
      </c>
      <c r="W58" s="52">
        <f t="shared" si="2"/>
        <v>940</v>
      </c>
      <c r="X58" s="52">
        <f t="shared" si="2"/>
        <v>2252.0500000000002</v>
      </c>
      <c r="Y58" s="52">
        <f t="shared" si="2"/>
        <v>1786.675</v>
      </c>
      <c r="Z58" s="52">
        <f t="shared" si="2"/>
        <v>2089.0410958904108</v>
      </c>
      <c r="AA58" s="52">
        <f t="shared" si="2"/>
        <v>3023.2876712328766</v>
      </c>
      <c r="AB58" s="52">
        <f t="shared" si="2"/>
        <v>3427.3972602739727</v>
      </c>
    </row>
    <row r="59" spans="1:40" ht="17.25" x14ac:dyDescent="0.25">
      <c r="A59" s="13" t="s">
        <v>88</v>
      </c>
      <c r="B59" s="45">
        <f>B53*B54*B55/B56</f>
        <v>213.23076923076925</v>
      </c>
      <c r="C59" s="45">
        <f>C53*C54*C55/C56</f>
        <v>39.763636363636365</v>
      </c>
      <c r="D59" s="45">
        <f>D55/D56*D52/365</f>
        <v>398.35341371785631</v>
      </c>
      <c r="E59" s="45">
        <f t="shared" ref="E59:G59" si="3">E55/E56*E52/365</f>
        <v>237.23797456408323</v>
      </c>
      <c r="F59" s="45">
        <f t="shared" si="3"/>
        <v>1187.2549019607843</v>
      </c>
      <c r="G59" s="45">
        <f t="shared" si="3"/>
        <v>387.07762557077626</v>
      </c>
      <c r="H59" s="42"/>
      <c r="I59" s="42"/>
      <c r="J59" s="52"/>
      <c r="K59" s="52"/>
      <c r="L59" s="52"/>
      <c r="M59" s="52"/>
      <c r="N59" s="52"/>
      <c r="O59" s="52"/>
      <c r="P59" s="52"/>
      <c r="Q59" s="52"/>
      <c r="R59" s="42"/>
      <c r="S59" s="42"/>
      <c r="T59" s="42"/>
      <c r="U59" s="42"/>
      <c r="V59" s="42"/>
      <c r="W59" s="42"/>
      <c r="X59" s="42"/>
      <c r="Y59" s="42"/>
      <c r="Z59" s="42"/>
      <c r="AA59" s="42"/>
      <c r="AB59" s="42"/>
    </row>
    <row r="60" spans="1:40" x14ac:dyDescent="0.25">
      <c r="A60" s="13" t="s">
        <v>89</v>
      </c>
      <c r="B60" s="45">
        <v>0.87</v>
      </c>
      <c r="C60" s="45">
        <v>0.87</v>
      </c>
      <c r="D60" s="45">
        <v>0.87</v>
      </c>
      <c r="E60" s="45">
        <v>0.87</v>
      </c>
      <c r="F60" s="45">
        <v>0.87</v>
      </c>
      <c r="G60" s="45">
        <v>0.87</v>
      </c>
      <c r="H60" s="42" t="s">
        <v>42</v>
      </c>
      <c r="I60" s="42" t="s">
        <v>42</v>
      </c>
      <c r="J60" s="42" t="s">
        <v>42</v>
      </c>
      <c r="K60" s="42" t="s">
        <v>42</v>
      </c>
      <c r="L60" s="42" t="s">
        <v>42</v>
      </c>
      <c r="M60" s="42" t="s">
        <v>42</v>
      </c>
      <c r="N60" s="42" t="s">
        <v>42</v>
      </c>
      <c r="O60" s="42" t="s">
        <v>42</v>
      </c>
      <c r="P60" s="42" t="s">
        <v>42</v>
      </c>
      <c r="Q60" s="42" t="s">
        <v>42</v>
      </c>
      <c r="R60" s="42" t="s">
        <v>42</v>
      </c>
      <c r="S60" s="42" t="s">
        <v>42</v>
      </c>
      <c r="T60" s="42" t="s">
        <v>42</v>
      </c>
      <c r="U60" s="42" t="s">
        <v>42</v>
      </c>
      <c r="V60" s="42" t="s">
        <v>42</v>
      </c>
      <c r="W60" s="42" t="s">
        <v>42</v>
      </c>
      <c r="X60" s="42" t="s">
        <v>42</v>
      </c>
      <c r="Y60" s="42" t="s">
        <v>42</v>
      </c>
      <c r="Z60" s="42" t="s">
        <v>42</v>
      </c>
      <c r="AA60" s="42" t="s">
        <v>42</v>
      </c>
      <c r="AB60" s="42" t="s">
        <v>42</v>
      </c>
    </row>
    <row r="61" spans="1:40" x14ac:dyDescent="0.25">
      <c r="A61" s="13" t="s">
        <v>90</v>
      </c>
      <c r="B61" s="45">
        <v>0.83</v>
      </c>
      <c r="C61" s="45">
        <v>0.83</v>
      </c>
      <c r="D61" s="45">
        <v>0.83</v>
      </c>
      <c r="E61" s="45">
        <v>0.83</v>
      </c>
      <c r="F61" s="45">
        <v>0.83</v>
      </c>
      <c r="G61" s="45">
        <v>0.83</v>
      </c>
      <c r="H61" s="42">
        <v>0.71</v>
      </c>
      <c r="I61" s="42">
        <v>0.71</v>
      </c>
      <c r="J61" s="42">
        <v>0.71</v>
      </c>
      <c r="K61" s="42">
        <v>0.71</v>
      </c>
      <c r="L61" s="42">
        <v>0.71</v>
      </c>
      <c r="M61" s="42">
        <v>0.71</v>
      </c>
      <c r="N61" s="42">
        <v>0.71</v>
      </c>
      <c r="O61" s="42">
        <v>0.71</v>
      </c>
      <c r="P61" s="42">
        <v>0.71</v>
      </c>
      <c r="Q61" s="42">
        <v>0.71</v>
      </c>
      <c r="R61" s="42">
        <v>0.71</v>
      </c>
      <c r="S61" s="42">
        <v>0.71</v>
      </c>
      <c r="T61" s="42">
        <v>0.71</v>
      </c>
      <c r="U61" s="42">
        <v>0.71</v>
      </c>
      <c r="V61" s="42">
        <v>0.71</v>
      </c>
      <c r="W61" s="42">
        <v>0.71</v>
      </c>
      <c r="X61" s="42">
        <v>0.71</v>
      </c>
      <c r="Y61" s="42">
        <v>0.71</v>
      </c>
      <c r="Z61" s="42">
        <v>0.71</v>
      </c>
      <c r="AA61" s="42">
        <v>0.71</v>
      </c>
      <c r="AB61" s="42">
        <v>0.71</v>
      </c>
    </row>
    <row r="62" spans="1:40" x14ac:dyDescent="0.25">
      <c r="A62" s="13" t="s">
        <v>91</v>
      </c>
      <c r="B62" s="45">
        <v>2</v>
      </c>
      <c r="C62" s="45">
        <v>2</v>
      </c>
      <c r="D62" s="45">
        <v>2</v>
      </c>
      <c r="E62" s="45">
        <v>2</v>
      </c>
      <c r="F62" s="45">
        <v>2</v>
      </c>
      <c r="G62" s="45">
        <v>2</v>
      </c>
      <c r="H62" s="45">
        <v>2</v>
      </c>
      <c r="I62" s="45">
        <v>2</v>
      </c>
      <c r="J62" s="45">
        <v>2</v>
      </c>
      <c r="K62" s="45">
        <v>2</v>
      </c>
      <c r="L62" s="45">
        <v>2</v>
      </c>
      <c r="M62" s="45">
        <v>2</v>
      </c>
      <c r="N62" s="45">
        <v>2</v>
      </c>
      <c r="O62" s="45">
        <v>2</v>
      </c>
      <c r="P62" s="45">
        <v>2</v>
      </c>
      <c r="Q62" s="45">
        <v>2</v>
      </c>
      <c r="R62" s="45">
        <v>2</v>
      </c>
      <c r="S62" s="45">
        <v>2</v>
      </c>
      <c r="T62" s="45">
        <v>2</v>
      </c>
      <c r="U62" s="45">
        <v>2</v>
      </c>
      <c r="V62" s="45">
        <v>2</v>
      </c>
      <c r="W62" s="45">
        <v>2</v>
      </c>
      <c r="X62" s="45">
        <v>2</v>
      </c>
      <c r="Y62" s="45">
        <v>2</v>
      </c>
      <c r="Z62" s="45">
        <v>2</v>
      </c>
      <c r="AA62" s="45">
        <v>2</v>
      </c>
      <c r="AB62" s="45">
        <v>2</v>
      </c>
    </row>
    <row r="63" spans="1:40" ht="17.25" x14ac:dyDescent="0.25">
      <c r="A63" s="13" t="s">
        <v>806</v>
      </c>
      <c r="B63" s="45">
        <v>75</v>
      </c>
      <c r="C63" s="45">
        <v>15</v>
      </c>
      <c r="D63" s="45">
        <v>0</v>
      </c>
      <c r="E63" s="45">
        <v>0</v>
      </c>
      <c r="F63" s="45">
        <v>0</v>
      </c>
      <c r="G63" s="45">
        <v>0</v>
      </c>
      <c r="H63" s="45">
        <v>5000</v>
      </c>
      <c r="I63" s="45">
        <v>5000</v>
      </c>
      <c r="J63" s="45">
        <v>5000</v>
      </c>
      <c r="K63" s="45">
        <v>5000</v>
      </c>
      <c r="L63" s="45">
        <v>5000</v>
      </c>
      <c r="M63" s="45">
        <v>5000</v>
      </c>
      <c r="N63" s="45">
        <v>5000</v>
      </c>
      <c r="O63" s="45">
        <v>5000</v>
      </c>
      <c r="P63" s="45">
        <v>5000</v>
      </c>
      <c r="Q63" s="45">
        <v>5000</v>
      </c>
      <c r="R63" s="45">
        <v>100</v>
      </c>
      <c r="S63" s="45">
        <v>100</v>
      </c>
      <c r="T63" s="45">
        <v>400</v>
      </c>
      <c r="U63" s="45">
        <v>400</v>
      </c>
      <c r="V63" s="45">
        <v>100</v>
      </c>
      <c r="W63" s="45">
        <v>100</v>
      </c>
      <c r="X63" s="45">
        <v>400</v>
      </c>
      <c r="Y63" s="45">
        <v>400</v>
      </c>
      <c r="Z63" s="45">
        <v>100</v>
      </c>
      <c r="AA63" s="45">
        <v>100</v>
      </c>
      <c r="AB63" s="45">
        <v>100</v>
      </c>
    </row>
    <row r="64" spans="1:40" ht="17.25" x14ac:dyDescent="0.25">
      <c r="A64" s="13" t="s">
        <v>92</v>
      </c>
      <c r="B64" s="45"/>
      <c r="C64" s="45"/>
      <c r="D64" s="45"/>
      <c r="E64" s="45"/>
      <c r="F64" s="45"/>
      <c r="G64" s="45"/>
      <c r="H64" s="44">
        <v>11163</v>
      </c>
      <c r="I64" s="42">
        <v>7652</v>
      </c>
      <c r="J64" s="44">
        <v>11163</v>
      </c>
      <c r="K64" s="44">
        <v>11163</v>
      </c>
      <c r="L64" s="44">
        <v>11163</v>
      </c>
      <c r="M64" s="44">
        <v>11163</v>
      </c>
      <c r="N64" s="42">
        <v>7652</v>
      </c>
      <c r="O64" s="42">
        <v>7652</v>
      </c>
      <c r="P64" s="42">
        <v>7652</v>
      </c>
      <c r="Q64" s="42">
        <v>7652</v>
      </c>
      <c r="R64" s="42">
        <v>0</v>
      </c>
      <c r="S64" s="42">
        <v>0</v>
      </c>
      <c r="T64" s="42">
        <v>0</v>
      </c>
      <c r="U64" s="42">
        <v>0</v>
      </c>
      <c r="V64" s="42">
        <v>0</v>
      </c>
      <c r="W64" s="42">
        <v>0</v>
      </c>
      <c r="X64" s="42">
        <v>0</v>
      </c>
      <c r="Y64" s="42">
        <v>0</v>
      </c>
      <c r="Z64" s="42">
        <v>1080</v>
      </c>
      <c r="AA64" s="42">
        <v>1447</v>
      </c>
      <c r="AB64" s="42">
        <v>1553</v>
      </c>
    </row>
    <row r="65" spans="1:45" ht="17.25" x14ac:dyDescent="0.25">
      <c r="A65" s="13" t="s">
        <v>93</v>
      </c>
      <c r="B65" s="45"/>
      <c r="C65" s="45"/>
      <c r="D65" s="45"/>
      <c r="E65" s="45"/>
      <c r="F65" s="45"/>
      <c r="G65" s="45"/>
      <c r="H65" s="42">
        <v>40</v>
      </c>
      <c r="I65" s="42">
        <v>40</v>
      </c>
      <c r="J65" s="42">
        <v>40</v>
      </c>
      <c r="K65" s="42">
        <v>40</v>
      </c>
      <c r="L65" s="42">
        <v>40</v>
      </c>
      <c r="M65" s="42">
        <v>40</v>
      </c>
      <c r="N65" s="42">
        <v>40</v>
      </c>
      <c r="O65" s="42">
        <v>40</v>
      </c>
      <c r="P65" s="42">
        <v>40</v>
      </c>
      <c r="Q65" s="42">
        <v>40</v>
      </c>
      <c r="R65" s="42">
        <v>40</v>
      </c>
      <c r="S65" s="42">
        <v>40</v>
      </c>
      <c r="T65" s="42">
        <v>40</v>
      </c>
      <c r="U65" s="42">
        <v>40</v>
      </c>
      <c r="V65" s="42">
        <v>40</v>
      </c>
      <c r="W65" s="42">
        <v>40</v>
      </c>
      <c r="X65" s="42">
        <v>40</v>
      </c>
      <c r="Y65" s="42">
        <v>40</v>
      </c>
      <c r="Z65" s="42">
        <v>40</v>
      </c>
      <c r="AA65" s="42">
        <v>40</v>
      </c>
      <c r="AB65" s="42">
        <v>40</v>
      </c>
    </row>
    <row r="66" spans="1:45" x14ac:dyDescent="0.25">
      <c r="A66" s="13" t="s">
        <v>94</v>
      </c>
      <c r="B66" s="45">
        <v>31</v>
      </c>
      <c r="C66" s="45">
        <v>6.7</v>
      </c>
      <c r="D66" s="45"/>
      <c r="E66" s="45"/>
      <c r="F66" s="45"/>
      <c r="G66" s="45"/>
      <c r="H66" s="42">
        <v>600</v>
      </c>
      <c r="I66" s="42">
        <v>420</v>
      </c>
      <c r="J66" s="42">
        <v>600</v>
      </c>
      <c r="K66" s="42">
        <v>600</v>
      </c>
      <c r="L66" s="42">
        <v>600</v>
      </c>
      <c r="M66" s="42">
        <v>600</v>
      </c>
      <c r="N66" s="42">
        <v>420</v>
      </c>
      <c r="O66" s="42">
        <v>420</v>
      </c>
      <c r="P66" s="42">
        <v>420</v>
      </c>
      <c r="Q66" s="42">
        <v>420</v>
      </c>
      <c r="R66" s="42">
        <v>40</v>
      </c>
      <c r="S66" s="42">
        <v>25</v>
      </c>
      <c r="T66" s="42">
        <v>168</v>
      </c>
      <c r="U66" s="42">
        <v>121</v>
      </c>
      <c r="V66" s="42">
        <v>40</v>
      </c>
      <c r="W66" s="42">
        <v>25</v>
      </c>
      <c r="X66" s="42">
        <v>220</v>
      </c>
      <c r="Y66" s="42">
        <v>145</v>
      </c>
      <c r="Z66" s="42"/>
      <c r="AA66" s="42"/>
      <c r="AB66" s="42"/>
    </row>
    <row r="67" spans="1:45" x14ac:dyDescent="0.25">
      <c r="A67" s="13" t="s">
        <v>95</v>
      </c>
      <c r="B67" s="45">
        <v>115</v>
      </c>
      <c r="C67" s="45">
        <v>31</v>
      </c>
      <c r="D67" s="45"/>
      <c r="E67" s="45"/>
      <c r="F67" s="45"/>
      <c r="G67" s="45"/>
      <c r="H67" s="42">
        <v>640</v>
      </c>
      <c r="I67" s="42">
        <v>440</v>
      </c>
      <c r="J67" s="42">
        <v>640</v>
      </c>
      <c r="K67" s="42">
        <v>640</v>
      </c>
      <c r="L67" s="42">
        <v>640</v>
      </c>
      <c r="M67" s="42">
        <v>640</v>
      </c>
      <c r="N67" s="42">
        <v>440</v>
      </c>
      <c r="O67" s="42">
        <v>440</v>
      </c>
      <c r="P67" s="42">
        <v>440</v>
      </c>
      <c r="Q67" s="42">
        <v>440</v>
      </c>
      <c r="R67" s="42">
        <v>168</v>
      </c>
      <c r="S67" s="42">
        <v>121</v>
      </c>
      <c r="T67" s="42">
        <v>615</v>
      </c>
      <c r="U67" s="42">
        <v>424</v>
      </c>
      <c r="V67" s="42">
        <v>220</v>
      </c>
      <c r="W67" s="42">
        <v>145</v>
      </c>
      <c r="X67" s="42">
        <v>440</v>
      </c>
      <c r="Y67" s="42">
        <v>328</v>
      </c>
      <c r="Z67" s="42"/>
      <c r="AA67" s="42"/>
      <c r="AB67" s="42"/>
    </row>
    <row r="68" spans="1:45" x14ac:dyDescent="0.25">
      <c r="A68" s="13" t="s">
        <v>96</v>
      </c>
      <c r="B68" s="42">
        <f t="shared" ref="B68:C68" si="4">AVERAGE(B66:B67)</f>
        <v>73</v>
      </c>
      <c r="C68" s="42">
        <f t="shared" si="4"/>
        <v>18.850000000000001</v>
      </c>
      <c r="D68" s="42">
        <v>245</v>
      </c>
      <c r="E68" s="42">
        <v>245</v>
      </c>
      <c r="F68" s="42">
        <v>175</v>
      </c>
      <c r="G68" s="42">
        <v>200</v>
      </c>
      <c r="H68" s="42">
        <f>AVERAGE(H66:H67)</f>
        <v>620</v>
      </c>
      <c r="I68" s="42">
        <f t="shared" ref="I68:Y68" si="5">AVERAGE(I66:I67)</f>
        <v>430</v>
      </c>
      <c r="J68" s="42">
        <f t="shared" si="5"/>
        <v>620</v>
      </c>
      <c r="K68" s="42">
        <f t="shared" si="5"/>
        <v>620</v>
      </c>
      <c r="L68" s="42">
        <f t="shared" si="5"/>
        <v>620</v>
      </c>
      <c r="M68" s="42">
        <f t="shared" si="5"/>
        <v>620</v>
      </c>
      <c r="N68" s="42">
        <f t="shared" si="5"/>
        <v>430</v>
      </c>
      <c r="O68" s="42">
        <f t="shared" si="5"/>
        <v>430</v>
      </c>
      <c r="P68" s="42">
        <f t="shared" si="5"/>
        <v>430</v>
      </c>
      <c r="Q68" s="42">
        <f t="shared" si="5"/>
        <v>430</v>
      </c>
      <c r="R68" s="42">
        <f t="shared" si="5"/>
        <v>104</v>
      </c>
      <c r="S68" s="42">
        <f t="shared" si="5"/>
        <v>73</v>
      </c>
      <c r="T68" s="42">
        <f t="shared" si="5"/>
        <v>391.5</v>
      </c>
      <c r="U68" s="42">
        <f t="shared" si="5"/>
        <v>272.5</v>
      </c>
      <c r="V68" s="42">
        <f t="shared" si="5"/>
        <v>130</v>
      </c>
      <c r="W68" s="42">
        <f t="shared" si="5"/>
        <v>85</v>
      </c>
      <c r="X68" s="42">
        <f t="shared" si="5"/>
        <v>330</v>
      </c>
      <c r="Y68" s="42">
        <f t="shared" si="5"/>
        <v>236.5</v>
      </c>
      <c r="Z68" s="42">
        <v>300</v>
      </c>
      <c r="AA68" s="42">
        <v>500</v>
      </c>
      <c r="AB68" s="42">
        <v>700</v>
      </c>
    </row>
    <row r="69" spans="1:45" x14ac:dyDescent="0.25">
      <c r="A69" s="13" t="s">
        <v>97</v>
      </c>
      <c r="B69" s="53">
        <v>2</v>
      </c>
      <c r="C69" s="43">
        <v>2</v>
      </c>
      <c r="D69" s="43">
        <v>2</v>
      </c>
      <c r="E69" s="43">
        <v>2</v>
      </c>
      <c r="F69" s="43">
        <v>2</v>
      </c>
      <c r="G69" s="43">
        <v>2</v>
      </c>
      <c r="H69" s="48">
        <v>5</v>
      </c>
      <c r="I69" s="48">
        <v>5</v>
      </c>
      <c r="J69" s="48">
        <v>5</v>
      </c>
      <c r="K69" s="48">
        <v>5</v>
      </c>
      <c r="L69" s="48">
        <v>5</v>
      </c>
      <c r="M69" s="48">
        <v>5</v>
      </c>
      <c r="N69" s="48">
        <v>5</v>
      </c>
      <c r="O69" s="48">
        <v>5</v>
      </c>
      <c r="P69" s="48">
        <v>5</v>
      </c>
      <c r="Q69" s="48">
        <v>5</v>
      </c>
      <c r="R69" s="48">
        <v>4</v>
      </c>
      <c r="S69" s="48">
        <v>4</v>
      </c>
      <c r="T69" s="45">
        <v>5</v>
      </c>
      <c r="U69" s="45">
        <v>5</v>
      </c>
      <c r="V69" s="45">
        <v>4</v>
      </c>
      <c r="W69" s="45">
        <v>4</v>
      </c>
      <c r="X69" s="45">
        <v>5</v>
      </c>
      <c r="Y69" s="45">
        <v>5</v>
      </c>
      <c r="Z69" s="43">
        <v>5</v>
      </c>
      <c r="AA69" s="43">
        <v>5</v>
      </c>
      <c r="AB69" s="43">
        <v>5</v>
      </c>
    </row>
    <row r="70" spans="1:45" x14ac:dyDescent="0.25">
      <c r="A70" s="13" t="s">
        <v>98</v>
      </c>
      <c r="B70" s="53">
        <v>25</v>
      </c>
      <c r="C70" s="43">
        <v>25</v>
      </c>
      <c r="D70" s="43">
        <v>30</v>
      </c>
      <c r="E70" s="43">
        <v>30</v>
      </c>
      <c r="F70" s="43">
        <v>30</v>
      </c>
      <c r="G70" s="43">
        <v>30</v>
      </c>
      <c r="H70" s="45">
        <v>14</v>
      </c>
      <c r="I70" s="45">
        <v>14</v>
      </c>
      <c r="J70" s="45">
        <v>14</v>
      </c>
      <c r="K70" s="45">
        <v>14</v>
      </c>
      <c r="L70" s="45">
        <v>14</v>
      </c>
      <c r="M70" s="45">
        <v>14</v>
      </c>
      <c r="N70" s="45">
        <v>14</v>
      </c>
      <c r="O70" s="45">
        <v>14</v>
      </c>
      <c r="P70" s="45">
        <v>14</v>
      </c>
      <c r="Q70" s="45">
        <v>14</v>
      </c>
      <c r="R70" s="45">
        <v>17</v>
      </c>
      <c r="S70" s="45">
        <v>17</v>
      </c>
      <c r="T70" s="45">
        <v>20</v>
      </c>
      <c r="U70" s="45">
        <v>20</v>
      </c>
      <c r="V70" s="45">
        <v>17</v>
      </c>
      <c r="W70" s="45">
        <v>17</v>
      </c>
      <c r="X70" s="45">
        <v>17</v>
      </c>
      <c r="Y70" s="45">
        <v>17</v>
      </c>
      <c r="Z70" s="43">
        <v>20</v>
      </c>
      <c r="AA70" s="43">
        <v>20</v>
      </c>
      <c r="AB70" s="43">
        <v>20</v>
      </c>
    </row>
    <row r="71" spans="1:45" ht="16.5" customHeight="1" x14ac:dyDescent="0.25">
      <c r="A71" s="13" t="s">
        <v>99</v>
      </c>
      <c r="B71" s="53">
        <v>2</v>
      </c>
      <c r="C71" s="43">
        <v>2</v>
      </c>
      <c r="D71" s="43">
        <v>2.5</v>
      </c>
      <c r="E71" s="43">
        <v>2.5</v>
      </c>
      <c r="F71" s="43">
        <v>2.5</v>
      </c>
      <c r="G71" s="43">
        <v>2.5</v>
      </c>
      <c r="H71" s="49">
        <f t="shared" ref="H71:Q71" si="6">1/1.85</f>
        <v>0.54054054054054046</v>
      </c>
      <c r="I71" s="49">
        <f t="shared" si="6"/>
        <v>0.54054054054054046</v>
      </c>
      <c r="J71" s="49">
        <f t="shared" si="6"/>
        <v>0.54054054054054046</v>
      </c>
      <c r="K71" s="49">
        <f t="shared" si="6"/>
        <v>0.54054054054054046</v>
      </c>
      <c r="L71" s="49">
        <f t="shared" si="6"/>
        <v>0.54054054054054046</v>
      </c>
      <c r="M71" s="49">
        <f t="shared" si="6"/>
        <v>0.54054054054054046</v>
      </c>
      <c r="N71" s="49">
        <f t="shared" si="6"/>
        <v>0.54054054054054046</v>
      </c>
      <c r="O71" s="49">
        <f t="shared" si="6"/>
        <v>0.54054054054054046</v>
      </c>
      <c r="P71" s="49">
        <f t="shared" si="6"/>
        <v>0.54054054054054046</v>
      </c>
      <c r="Q71" s="49">
        <f t="shared" si="6"/>
        <v>0.54054054054054046</v>
      </c>
      <c r="R71" s="49">
        <f>1/1.5</f>
        <v>0.66666666666666663</v>
      </c>
      <c r="S71" s="49">
        <f>1/1.5</f>
        <v>0.66666666666666663</v>
      </c>
      <c r="T71" s="49">
        <f>1/2</f>
        <v>0.5</v>
      </c>
      <c r="U71" s="49">
        <f>1/2</f>
        <v>0.5</v>
      </c>
      <c r="V71" s="49">
        <f>1/1.5</f>
        <v>0.66666666666666663</v>
      </c>
      <c r="W71" s="49">
        <f>1/1.5</f>
        <v>0.66666666666666663</v>
      </c>
      <c r="X71" s="49">
        <f>1/2</f>
        <v>0.5</v>
      </c>
      <c r="Y71" s="49">
        <f>1/2</f>
        <v>0.5</v>
      </c>
      <c r="Z71" s="49">
        <f>1/2</f>
        <v>0.5</v>
      </c>
      <c r="AA71" s="49">
        <f>1/2</f>
        <v>0.5</v>
      </c>
      <c r="AB71" s="49">
        <f>1/2</f>
        <v>0.5</v>
      </c>
    </row>
    <row r="72" spans="1:45" x14ac:dyDescent="0.25">
      <c r="A72" s="13" t="s">
        <v>100</v>
      </c>
      <c r="B72" s="44"/>
      <c r="C72" s="44"/>
      <c r="D72" s="44"/>
      <c r="E72" s="44"/>
      <c r="F72" s="44"/>
      <c r="G72" s="44"/>
      <c r="H72" s="44"/>
      <c r="I72" s="44"/>
      <c r="J72" s="44">
        <v>168</v>
      </c>
      <c r="K72" s="44">
        <v>77</v>
      </c>
      <c r="L72" s="44">
        <v>70</v>
      </c>
      <c r="M72" s="44">
        <v>50</v>
      </c>
      <c r="N72" s="44">
        <v>168</v>
      </c>
      <c r="O72" s="44">
        <v>77</v>
      </c>
      <c r="P72" s="44">
        <v>70</v>
      </c>
      <c r="Q72" s="44">
        <v>50</v>
      </c>
      <c r="R72" s="44"/>
      <c r="S72" s="44"/>
      <c r="T72" s="54"/>
      <c r="U72" s="54"/>
      <c r="V72" s="54"/>
      <c r="W72" s="54"/>
      <c r="X72" s="54"/>
      <c r="Y72" s="54"/>
      <c r="Z72" s="43"/>
      <c r="AA72" s="43"/>
      <c r="AB72" s="43"/>
    </row>
    <row r="73" spans="1:45" x14ac:dyDescent="0.25">
      <c r="A73" s="13"/>
    </row>
    <row r="74" spans="1:45" ht="17.25" x14ac:dyDescent="0.25">
      <c r="A74" s="20" t="s">
        <v>101</v>
      </c>
      <c r="B74" s="9" t="s">
        <v>8</v>
      </c>
      <c r="C74" s="9" t="s">
        <v>9</v>
      </c>
      <c r="D74" s="9" t="s">
        <v>10</v>
      </c>
      <c r="E74" s="9" t="s">
        <v>11</v>
      </c>
      <c r="F74" s="9" t="s">
        <v>12</v>
      </c>
      <c r="G74" s="9" t="s">
        <v>13</v>
      </c>
      <c r="H74" s="9" t="s">
        <v>14</v>
      </c>
      <c r="I74" s="9" t="s">
        <v>15</v>
      </c>
      <c r="J74" s="9" t="s">
        <v>102</v>
      </c>
      <c r="K74" s="9" t="s">
        <v>17</v>
      </c>
      <c r="L74" s="9" t="s">
        <v>18</v>
      </c>
      <c r="M74" s="9" t="s">
        <v>19</v>
      </c>
      <c r="N74" s="9" t="s">
        <v>20</v>
      </c>
      <c r="O74" s="9" t="s">
        <v>21</v>
      </c>
      <c r="P74" s="9" t="s">
        <v>22</v>
      </c>
      <c r="Q74" s="9" t="s">
        <v>23</v>
      </c>
      <c r="R74" s="9" t="s">
        <v>24</v>
      </c>
      <c r="S74" s="9" t="s">
        <v>25</v>
      </c>
      <c r="T74" s="9" t="s">
        <v>26</v>
      </c>
      <c r="U74" s="9" t="s">
        <v>27</v>
      </c>
      <c r="V74" s="9" t="s">
        <v>28</v>
      </c>
      <c r="W74" t="s">
        <v>29</v>
      </c>
      <c r="X74" t="s">
        <v>30</v>
      </c>
      <c r="Y74" t="s">
        <v>31</v>
      </c>
      <c r="Z74" t="s">
        <v>52</v>
      </c>
      <c r="AA74" t="s">
        <v>33</v>
      </c>
      <c r="AB74" t="s">
        <v>34</v>
      </c>
      <c r="AC74" s="2" t="s">
        <v>103</v>
      </c>
    </row>
    <row r="75" spans="1:45" x14ac:dyDescent="0.25">
      <c r="A75" s="13" t="s">
        <v>53</v>
      </c>
      <c r="B75" s="42">
        <v>0</v>
      </c>
      <c r="C75" s="42">
        <v>3</v>
      </c>
      <c r="D75" s="42">
        <v>3</v>
      </c>
      <c r="E75" s="42">
        <v>13</v>
      </c>
      <c r="F75" s="42">
        <v>70</v>
      </c>
      <c r="G75" s="42"/>
      <c r="H75" s="42"/>
      <c r="I75" s="42"/>
      <c r="J75" s="42"/>
      <c r="K75" s="42"/>
      <c r="L75" s="42"/>
      <c r="M75" s="42"/>
      <c r="N75" s="42"/>
      <c r="O75" s="42"/>
      <c r="P75" s="42"/>
      <c r="Q75" s="42"/>
      <c r="R75" s="42"/>
      <c r="S75" s="42"/>
      <c r="T75" s="42"/>
      <c r="U75" s="42"/>
      <c r="V75" s="42"/>
      <c r="W75" s="42"/>
      <c r="X75" s="42"/>
      <c r="Y75" s="42"/>
      <c r="Z75" s="42"/>
      <c r="AA75" s="42"/>
      <c r="AB75" s="42"/>
      <c r="AC75" s="42">
        <v>73</v>
      </c>
      <c r="AD75" s="9"/>
      <c r="AE75" s="9"/>
      <c r="AF75" s="9"/>
      <c r="AG75" s="9"/>
      <c r="AH75" s="9"/>
      <c r="AI75" s="9"/>
      <c r="AJ75" s="9"/>
      <c r="AK75" s="9"/>
      <c r="AL75" s="9"/>
      <c r="AM75" s="9"/>
      <c r="AN75" s="9"/>
      <c r="AO75" s="9"/>
      <c r="AP75" s="9"/>
      <c r="AQ75" s="9"/>
      <c r="AR75" s="9"/>
      <c r="AS75" s="9"/>
    </row>
    <row r="76" spans="1:45" x14ac:dyDescent="0.25">
      <c r="A76" s="13" t="s">
        <v>54</v>
      </c>
      <c r="B76" s="42"/>
      <c r="C76" s="42"/>
      <c r="D76" s="42"/>
      <c r="E76" s="42"/>
      <c r="F76" s="42"/>
      <c r="G76" s="42"/>
      <c r="H76" s="42"/>
      <c r="I76" s="42"/>
      <c r="J76" s="42"/>
      <c r="K76" s="42"/>
      <c r="L76" s="42"/>
      <c r="M76" s="42"/>
      <c r="N76" s="42"/>
      <c r="O76" s="42">
        <v>1</v>
      </c>
      <c r="P76" s="42">
        <v>1</v>
      </c>
      <c r="Q76" s="42">
        <v>2.5</v>
      </c>
      <c r="R76" s="42">
        <v>13</v>
      </c>
      <c r="S76" s="42"/>
      <c r="T76" s="42"/>
      <c r="U76" s="42"/>
      <c r="V76" s="42"/>
      <c r="W76" s="42"/>
      <c r="X76" s="42"/>
      <c r="Y76" s="42"/>
      <c r="Z76" s="42"/>
      <c r="AA76" s="42"/>
      <c r="AB76" s="42"/>
      <c r="AC76" s="42">
        <v>18.25</v>
      </c>
      <c r="AD76" s="9"/>
      <c r="AE76" s="9"/>
      <c r="AF76" s="9"/>
      <c r="AG76" s="9"/>
      <c r="AH76" s="9"/>
      <c r="AI76" s="9"/>
      <c r="AJ76" s="9"/>
      <c r="AK76" s="9"/>
      <c r="AL76" s="9"/>
      <c r="AM76" s="9"/>
      <c r="AN76" s="9"/>
      <c r="AO76" s="9"/>
      <c r="AP76" s="9"/>
      <c r="AQ76" s="9"/>
      <c r="AR76" s="9"/>
      <c r="AS76" s="9"/>
    </row>
    <row r="77" spans="1:45" x14ac:dyDescent="0.25">
      <c r="A77" s="13" t="s">
        <v>55</v>
      </c>
      <c r="B77" s="42"/>
      <c r="C77" s="42"/>
      <c r="D77" s="42"/>
      <c r="E77" s="42"/>
      <c r="F77" s="42"/>
      <c r="G77" s="42">
        <f>50*D52/365</f>
        <v>16.301369863013697</v>
      </c>
      <c r="H77" s="42">
        <f>350*D52/365</f>
        <v>114.10958904109589</v>
      </c>
      <c r="I77" s="42">
        <f>900*D52/365</f>
        <v>293.42465753424659</v>
      </c>
      <c r="J77" s="42">
        <v>293.42465753424659</v>
      </c>
      <c r="K77" s="42">
        <v>0</v>
      </c>
      <c r="L77" s="42">
        <f>75*D52/365</f>
        <v>24.452054794520549</v>
      </c>
      <c r="M77" s="42"/>
      <c r="N77" s="42"/>
      <c r="O77" s="42"/>
      <c r="P77" s="42"/>
      <c r="Q77" s="42"/>
      <c r="R77" s="42"/>
      <c r="S77" s="42"/>
      <c r="T77" s="42"/>
      <c r="U77" s="42"/>
      <c r="V77" s="42"/>
      <c r="W77" s="42"/>
      <c r="X77" s="44"/>
      <c r="Y77" s="44"/>
      <c r="Z77" s="44"/>
      <c r="AA77" s="44"/>
      <c r="AB77" s="44"/>
      <c r="AC77" s="55">
        <v>200</v>
      </c>
    </row>
    <row r="78" spans="1:45" x14ac:dyDescent="0.25">
      <c r="A78" s="13" t="s">
        <v>56</v>
      </c>
      <c r="B78" s="42"/>
      <c r="C78" s="42"/>
      <c r="D78" s="42"/>
      <c r="E78" s="42"/>
      <c r="F78" s="42"/>
      <c r="G78" s="42"/>
      <c r="H78" s="42"/>
      <c r="I78" s="42"/>
      <c r="J78" s="42"/>
      <c r="K78" s="42"/>
      <c r="L78" s="42"/>
      <c r="M78" s="42">
        <v>3</v>
      </c>
      <c r="N78" s="42">
        <v>3</v>
      </c>
      <c r="O78" s="42"/>
      <c r="P78" s="42"/>
      <c r="Q78" s="42"/>
      <c r="R78" s="42"/>
      <c r="S78" s="42"/>
      <c r="T78" s="42"/>
      <c r="U78" s="42"/>
      <c r="V78" s="42"/>
      <c r="W78" s="42"/>
      <c r="X78" s="44"/>
      <c r="Y78" s="44"/>
      <c r="Z78" s="44"/>
      <c r="AA78" s="44"/>
      <c r="AB78" s="44"/>
      <c r="AC78" s="55">
        <v>250</v>
      </c>
    </row>
    <row r="79" spans="1:45" x14ac:dyDescent="0.25">
      <c r="A79" s="13" t="s">
        <v>57</v>
      </c>
      <c r="B79" s="42"/>
      <c r="C79" s="42"/>
      <c r="D79" s="42"/>
      <c r="E79" s="42"/>
      <c r="F79" s="42"/>
      <c r="G79" s="42">
        <f>50</f>
        <v>50</v>
      </c>
      <c r="H79" s="42">
        <v>350</v>
      </c>
      <c r="I79" s="42">
        <v>900</v>
      </c>
      <c r="J79" s="42">
        <v>900</v>
      </c>
      <c r="K79" s="42">
        <v>0</v>
      </c>
      <c r="L79" s="42">
        <f>75*F52/365</f>
        <v>75</v>
      </c>
      <c r="M79" s="42"/>
      <c r="N79" s="42"/>
      <c r="O79" s="42"/>
      <c r="P79" s="42"/>
      <c r="Q79" s="42"/>
      <c r="R79" s="42"/>
      <c r="S79" s="42"/>
      <c r="T79" s="42"/>
      <c r="U79" s="42"/>
      <c r="V79" s="42"/>
      <c r="W79" s="42"/>
      <c r="X79" s="44"/>
      <c r="Y79" s="44"/>
      <c r="Z79" s="44"/>
      <c r="AA79" s="44"/>
      <c r="AB79" s="44"/>
      <c r="AC79" s="55">
        <v>150</v>
      </c>
    </row>
    <row r="80" spans="1:45" x14ac:dyDescent="0.25">
      <c r="A80" s="13" t="s">
        <v>58</v>
      </c>
      <c r="B80" s="42"/>
      <c r="C80" s="42"/>
      <c r="D80" s="42"/>
      <c r="E80" s="42"/>
      <c r="F80" s="42"/>
      <c r="G80" s="42">
        <f>50*G52/365</f>
        <v>16.301369863013697</v>
      </c>
      <c r="H80" s="42">
        <f>350*G52/365</f>
        <v>114.10958904109589</v>
      </c>
      <c r="I80" s="42">
        <f>900*G52/365</f>
        <v>293.42465753424659</v>
      </c>
      <c r="J80" s="42">
        <v>293.42465753424659</v>
      </c>
      <c r="K80" s="42">
        <v>0</v>
      </c>
      <c r="L80" s="42">
        <f>75*G52/365</f>
        <v>24.452054794520549</v>
      </c>
      <c r="M80" s="42"/>
      <c r="N80" s="42"/>
      <c r="O80" s="42"/>
      <c r="P80" s="42"/>
      <c r="Q80" s="42"/>
      <c r="R80" s="42"/>
      <c r="S80" s="42"/>
      <c r="T80" s="42"/>
      <c r="U80" s="42"/>
      <c r="V80" s="42"/>
      <c r="W80" s="42"/>
      <c r="X80" s="44"/>
      <c r="Y80" s="44"/>
      <c r="Z80" s="44"/>
      <c r="AA80" s="44"/>
      <c r="AB80" s="44"/>
      <c r="AC80" s="55">
        <v>150</v>
      </c>
    </row>
    <row r="81" spans="1:45" x14ac:dyDescent="0.25">
      <c r="A81" s="13" t="s">
        <v>59</v>
      </c>
      <c r="B81" s="48"/>
      <c r="C81" s="48"/>
      <c r="D81" s="48"/>
      <c r="E81" s="48"/>
      <c r="F81" s="48"/>
      <c r="G81" s="48"/>
      <c r="H81" s="48"/>
      <c r="I81" s="48"/>
      <c r="J81" s="48"/>
      <c r="K81" s="48"/>
      <c r="L81" s="48"/>
      <c r="M81" s="48"/>
      <c r="N81" s="48"/>
      <c r="O81" s="48"/>
      <c r="P81" s="48"/>
      <c r="Q81" s="48"/>
      <c r="R81" s="48"/>
      <c r="S81" s="48">
        <v>146</v>
      </c>
      <c r="T81" s="48">
        <v>146</v>
      </c>
      <c r="U81" s="48">
        <v>146</v>
      </c>
      <c r="V81" s="48">
        <v>146</v>
      </c>
      <c r="W81" s="48">
        <v>3068.1</v>
      </c>
      <c r="X81" s="48">
        <v>3725.55</v>
      </c>
      <c r="Y81" s="48">
        <v>1972.35</v>
      </c>
      <c r="Z81" s="48">
        <v>3068.1</v>
      </c>
      <c r="AA81" s="48">
        <v>438.3</v>
      </c>
      <c r="AB81" s="48">
        <v>438.3</v>
      </c>
      <c r="AC81" s="42">
        <v>600</v>
      </c>
      <c r="AD81" s="2"/>
      <c r="AE81" s="2"/>
      <c r="AF81" s="2"/>
      <c r="AG81" s="2"/>
      <c r="AH81" s="2"/>
      <c r="AI81" s="2"/>
      <c r="AJ81" s="2"/>
      <c r="AK81" s="2"/>
      <c r="AL81" s="2"/>
      <c r="AM81" s="2"/>
      <c r="AN81" s="2"/>
      <c r="AO81" s="2"/>
      <c r="AP81" s="2"/>
      <c r="AQ81" s="2"/>
      <c r="AR81" s="2"/>
      <c r="AS81" s="2"/>
    </row>
    <row r="82" spans="1:45" x14ac:dyDescent="0.25">
      <c r="A82" s="13" t="s">
        <v>60</v>
      </c>
      <c r="B82" s="48"/>
      <c r="C82" s="48"/>
      <c r="D82" s="48"/>
      <c r="E82" s="48"/>
      <c r="F82" s="48"/>
      <c r="G82" s="48"/>
      <c r="H82" s="48"/>
      <c r="I82" s="48"/>
      <c r="J82" s="48"/>
      <c r="K82" s="48"/>
      <c r="L82" s="48"/>
      <c r="M82" s="48"/>
      <c r="N82" s="48"/>
      <c r="O82" s="48"/>
      <c r="P82" s="48"/>
      <c r="Q82" s="48"/>
      <c r="R82" s="48"/>
      <c r="S82" s="48">
        <v>109.6</v>
      </c>
      <c r="T82" s="48">
        <v>109.6</v>
      </c>
      <c r="U82" s="48">
        <v>109.6</v>
      </c>
      <c r="V82" s="48">
        <v>109.6</v>
      </c>
      <c r="W82" s="48">
        <v>2147.67</v>
      </c>
      <c r="X82" s="48">
        <v>2607.8849999999998</v>
      </c>
      <c r="Y82" s="48">
        <v>1380.645</v>
      </c>
      <c r="Z82" s="48">
        <v>2147.67</v>
      </c>
      <c r="AA82" s="48">
        <v>365</v>
      </c>
      <c r="AB82" s="48">
        <v>365</v>
      </c>
      <c r="AC82" s="42">
        <v>420</v>
      </c>
    </row>
    <row r="83" spans="1:45" x14ac:dyDescent="0.25">
      <c r="A83" s="13" t="s">
        <v>61</v>
      </c>
      <c r="B83" s="48"/>
      <c r="C83" s="48"/>
      <c r="D83" s="48"/>
      <c r="E83" s="48"/>
      <c r="F83" s="48"/>
      <c r="G83" s="48"/>
      <c r="H83" s="48"/>
      <c r="I83" s="48"/>
      <c r="J83" s="48"/>
      <c r="K83" s="48"/>
      <c r="L83" s="48"/>
      <c r="M83" s="48"/>
      <c r="N83" s="48"/>
      <c r="O83" s="48"/>
      <c r="P83" s="48"/>
      <c r="Q83" s="48"/>
      <c r="R83" s="48"/>
      <c r="S83" s="48">
        <v>146</v>
      </c>
      <c r="T83" s="48">
        <v>146</v>
      </c>
      <c r="U83" s="48">
        <v>146</v>
      </c>
      <c r="V83" s="48">
        <v>146</v>
      </c>
      <c r="W83" s="48">
        <v>3068.1</v>
      </c>
      <c r="X83" s="48">
        <v>3725.55</v>
      </c>
      <c r="Y83" s="48">
        <v>1972.35</v>
      </c>
      <c r="Z83" s="48">
        <v>3068.1</v>
      </c>
      <c r="AA83" s="48">
        <v>438.3</v>
      </c>
      <c r="AB83" s="48">
        <v>438.3</v>
      </c>
      <c r="AC83" s="42">
        <v>600</v>
      </c>
    </row>
    <row r="84" spans="1:45" x14ac:dyDescent="0.25">
      <c r="A84" s="13" t="s">
        <v>62</v>
      </c>
      <c r="B84" s="48"/>
      <c r="C84" s="48"/>
      <c r="D84" s="48"/>
      <c r="E84" s="48"/>
      <c r="F84" s="48"/>
      <c r="G84" s="48"/>
      <c r="H84" s="48"/>
      <c r="I84" s="48"/>
      <c r="J84" s="48"/>
      <c r="K84" s="48"/>
      <c r="L84" s="48"/>
      <c r="M84" s="48"/>
      <c r="N84" s="48"/>
      <c r="O84" s="48"/>
      <c r="P84" s="48"/>
      <c r="Q84" s="48"/>
      <c r="R84" s="48"/>
      <c r="S84" s="48">
        <v>146</v>
      </c>
      <c r="T84" s="48">
        <v>146</v>
      </c>
      <c r="U84" s="48">
        <v>146</v>
      </c>
      <c r="V84" s="48">
        <v>146</v>
      </c>
      <c r="W84" s="48">
        <v>3068.1</v>
      </c>
      <c r="X84" s="48">
        <v>3725.55</v>
      </c>
      <c r="Y84" s="48">
        <v>1972.35</v>
      </c>
      <c r="Z84" s="48">
        <v>3068.1</v>
      </c>
      <c r="AA84" s="48">
        <v>438.3</v>
      </c>
      <c r="AB84" s="48">
        <v>438.3</v>
      </c>
      <c r="AC84" s="42">
        <v>600</v>
      </c>
      <c r="AD84" s="1"/>
      <c r="AE84" s="1"/>
      <c r="AF84" s="1"/>
      <c r="AG84" s="1"/>
      <c r="AH84" s="1"/>
      <c r="AI84" s="1"/>
      <c r="AJ84" s="1"/>
      <c r="AK84" s="1"/>
      <c r="AL84" s="1"/>
      <c r="AM84" s="6"/>
      <c r="AN84" s="6"/>
      <c r="AO84" s="6"/>
      <c r="AP84" s="6"/>
      <c r="AQ84" s="6"/>
      <c r="AR84" s="6"/>
      <c r="AS84" s="6"/>
    </row>
    <row r="85" spans="1:45" x14ac:dyDescent="0.25">
      <c r="A85" s="13" t="s">
        <v>63</v>
      </c>
      <c r="B85" s="48"/>
      <c r="C85" s="48"/>
      <c r="D85" s="48"/>
      <c r="E85" s="48"/>
      <c r="F85" s="48"/>
      <c r="G85" s="48"/>
      <c r="H85" s="48"/>
      <c r="I85" s="48"/>
      <c r="J85" s="48"/>
      <c r="K85" s="48"/>
      <c r="L85" s="48"/>
      <c r="M85" s="48"/>
      <c r="N85" s="48"/>
      <c r="O85" s="48"/>
      <c r="P85" s="48"/>
      <c r="Q85" s="48"/>
      <c r="R85" s="48"/>
      <c r="S85" s="48">
        <v>146</v>
      </c>
      <c r="T85" s="48">
        <v>146</v>
      </c>
      <c r="U85" s="48">
        <v>146</v>
      </c>
      <c r="V85" s="48">
        <v>146</v>
      </c>
      <c r="W85" s="48">
        <v>3068.1</v>
      </c>
      <c r="X85" s="48">
        <v>3725.55</v>
      </c>
      <c r="Y85" s="48">
        <v>1972.35</v>
      </c>
      <c r="Z85" s="48">
        <v>3068.1</v>
      </c>
      <c r="AA85" s="48">
        <v>438.3</v>
      </c>
      <c r="AB85" s="48">
        <v>438.3</v>
      </c>
      <c r="AC85" s="42">
        <v>600</v>
      </c>
      <c r="AD85" s="5"/>
      <c r="AE85" s="5"/>
      <c r="AF85" s="5"/>
      <c r="AG85" s="5"/>
      <c r="AH85" s="5"/>
      <c r="AI85" s="5"/>
      <c r="AJ85" s="5"/>
      <c r="AK85" s="5"/>
      <c r="AL85" s="5"/>
      <c r="AM85" s="5"/>
      <c r="AN85" s="5"/>
      <c r="AO85" s="5"/>
      <c r="AP85" s="5"/>
      <c r="AQ85" s="5"/>
      <c r="AR85" s="5"/>
      <c r="AS85" s="5"/>
    </row>
    <row r="86" spans="1:45" x14ac:dyDescent="0.25">
      <c r="A86" s="13" t="s">
        <v>64</v>
      </c>
      <c r="B86" s="48"/>
      <c r="C86" s="48"/>
      <c r="D86" s="48"/>
      <c r="E86" s="48"/>
      <c r="F86" s="48"/>
      <c r="G86" s="48"/>
      <c r="H86" s="48"/>
      <c r="I86" s="48"/>
      <c r="J86" s="48"/>
      <c r="K86" s="48"/>
      <c r="L86" s="48"/>
      <c r="M86" s="48"/>
      <c r="N86" s="48"/>
      <c r="O86" s="48"/>
      <c r="P86" s="48"/>
      <c r="Q86" s="48"/>
      <c r="R86" s="48"/>
      <c r="S86" s="48">
        <v>146</v>
      </c>
      <c r="T86" s="48">
        <v>146</v>
      </c>
      <c r="U86" s="48">
        <v>146</v>
      </c>
      <c r="V86" s="48">
        <v>146</v>
      </c>
      <c r="W86" s="48">
        <v>3068.1</v>
      </c>
      <c r="X86" s="48">
        <v>3725.55</v>
      </c>
      <c r="Y86" s="48">
        <v>1972.35</v>
      </c>
      <c r="Z86" s="48">
        <v>3068.1</v>
      </c>
      <c r="AA86" s="48">
        <v>438.3</v>
      </c>
      <c r="AB86" s="48">
        <v>438.3</v>
      </c>
      <c r="AC86" s="42">
        <v>600</v>
      </c>
      <c r="AD86" s="13"/>
      <c r="AE86" s="13"/>
      <c r="AF86" s="13"/>
      <c r="AG86" s="13"/>
      <c r="AH86" s="13"/>
      <c r="AI86" s="13"/>
      <c r="AJ86" s="13"/>
      <c r="AK86" s="13"/>
      <c r="AL86" s="13"/>
      <c r="AM86" s="13"/>
      <c r="AN86" s="13"/>
      <c r="AO86" s="13"/>
      <c r="AP86" s="13"/>
      <c r="AQ86" s="13"/>
      <c r="AR86" s="13"/>
      <c r="AS86" s="13"/>
    </row>
    <row r="87" spans="1:45" x14ac:dyDescent="0.25">
      <c r="A87" s="13" t="s">
        <v>65</v>
      </c>
      <c r="B87" s="48"/>
      <c r="C87" s="48"/>
      <c r="D87" s="48"/>
      <c r="E87" s="48"/>
      <c r="F87" s="48"/>
      <c r="G87" s="48"/>
      <c r="H87" s="48"/>
      <c r="I87" s="48"/>
      <c r="J87" s="48"/>
      <c r="K87" s="48"/>
      <c r="L87" s="48"/>
      <c r="M87" s="48"/>
      <c r="N87" s="48"/>
      <c r="O87" s="48"/>
      <c r="P87" s="48"/>
      <c r="Q87" s="48"/>
      <c r="R87" s="48"/>
      <c r="S87" s="48">
        <v>109.6</v>
      </c>
      <c r="T87" s="48">
        <v>109.6</v>
      </c>
      <c r="U87" s="48">
        <v>109.6</v>
      </c>
      <c r="V87" s="48">
        <v>109.6</v>
      </c>
      <c r="W87" s="48">
        <v>2147.67</v>
      </c>
      <c r="X87" s="48">
        <v>2607.8849999999998</v>
      </c>
      <c r="Y87" s="48">
        <v>1380.645</v>
      </c>
      <c r="Z87" s="48">
        <v>2147.67</v>
      </c>
      <c r="AA87" s="48">
        <v>365</v>
      </c>
      <c r="AB87" s="48">
        <v>365</v>
      </c>
      <c r="AC87" s="42">
        <v>420</v>
      </c>
      <c r="AD87" s="13"/>
      <c r="AE87" s="13"/>
      <c r="AF87" s="13"/>
      <c r="AG87" s="13"/>
      <c r="AH87" s="13"/>
      <c r="AI87" s="13"/>
      <c r="AJ87" s="13"/>
      <c r="AK87" s="13"/>
      <c r="AL87" s="13"/>
      <c r="AM87" s="13"/>
      <c r="AN87" s="13"/>
      <c r="AO87" s="13"/>
      <c r="AP87" s="13"/>
      <c r="AQ87" s="13"/>
      <c r="AR87" s="13"/>
      <c r="AS87" s="13"/>
    </row>
    <row r="88" spans="1:45" x14ac:dyDescent="0.25">
      <c r="A88" s="13" t="s">
        <v>66</v>
      </c>
      <c r="B88" s="48"/>
      <c r="C88" s="48"/>
      <c r="D88" s="48"/>
      <c r="E88" s="48"/>
      <c r="F88" s="48"/>
      <c r="G88" s="48"/>
      <c r="H88" s="48"/>
      <c r="I88" s="48"/>
      <c r="J88" s="48"/>
      <c r="K88" s="48"/>
      <c r="L88" s="48"/>
      <c r="M88" s="48"/>
      <c r="N88" s="48"/>
      <c r="O88" s="48"/>
      <c r="P88" s="48"/>
      <c r="Q88" s="48"/>
      <c r="R88" s="48"/>
      <c r="S88" s="48">
        <v>109.6</v>
      </c>
      <c r="T88" s="48">
        <v>109.6</v>
      </c>
      <c r="U88" s="48">
        <v>109.6</v>
      </c>
      <c r="V88" s="48">
        <v>109.6</v>
      </c>
      <c r="W88" s="48">
        <v>2147.67</v>
      </c>
      <c r="X88" s="48">
        <v>2607.8849999999998</v>
      </c>
      <c r="Y88" s="48">
        <v>1380.645</v>
      </c>
      <c r="Z88" s="48">
        <v>2147.67</v>
      </c>
      <c r="AA88" s="48">
        <v>365</v>
      </c>
      <c r="AB88" s="48">
        <v>365</v>
      </c>
      <c r="AC88" s="42">
        <v>420</v>
      </c>
      <c r="AD88" s="9"/>
      <c r="AE88" s="9"/>
      <c r="AF88" s="9"/>
      <c r="AG88" s="9"/>
    </row>
    <row r="89" spans="1:45" x14ac:dyDescent="0.25">
      <c r="A89" s="13" t="s">
        <v>67</v>
      </c>
      <c r="B89" s="48"/>
      <c r="C89" s="48"/>
      <c r="D89" s="48"/>
      <c r="E89" s="48"/>
      <c r="F89" s="48"/>
      <c r="G89" s="48"/>
      <c r="H89" s="48"/>
      <c r="I89" s="48"/>
      <c r="J89" s="48"/>
      <c r="K89" s="48"/>
      <c r="L89" s="48"/>
      <c r="M89" s="48"/>
      <c r="N89" s="48"/>
      <c r="O89" s="48"/>
      <c r="P89" s="48"/>
      <c r="Q89" s="48"/>
      <c r="R89" s="48"/>
      <c r="S89" s="48">
        <v>109.6</v>
      </c>
      <c r="T89" s="48">
        <v>109.6</v>
      </c>
      <c r="U89" s="48">
        <v>109.6</v>
      </c>
      <c r="V89" s="48">
        <v>109.6</v>
      </c>
      <c r="W89" s="48">
        <v>2147.67</v>
      </c>
      <c r="X89" s="48">
        <v>2607.8849999999998</v>
      </c>
      <c r="Y89" s="48">
        <v>1380.645</v>
      </c>
      <c r="Z89" s="48">
        <v>2147.67</v>
      </c>
      <c r="AA89" s="48">
        <v>365</v>
      </c>
      <c r="AB89" s="48">
        <v>365</v>
      </c>
      <c r="AC89" s="42">
        <v>420</v>
      </c>
    </row>
    <row r="90" spans="1:45" x14ac:dyDescent="0.25">
      <c r="A90" s="13" t="s">
        <v>68</v>
      </c>
      <c r="B90" s="48"/>
      <c r="C90" s="48"/>
      <c r="D90" s="48"/>
      <c r="E90" s="48"/>
      <c r="F90" s="48"/>
      <c r="G90" s="48"/>
      <c r="H90" s="48"/>
      <c r="I90" s="48"/>
      <c r="J90" s="48"/>
      <c r="K90" s="48"/>
      <c r="L90" s="48"/>
      <c r="M90" s="48"/>
      <c r="N90" s="48"/>
      <c r="O90" s="48"/>
      <c r="P90" s="48"/>
      <c r="Q90" s="48"/>
      <c r="R90" s="48"/>
      <c r="S90" s="48">
        <v>109.6</v>
      </c>
      <c r="T90" s="48">
        <v>109.6</v>
      </c>
      <c r="U90" s="48">
        <v>109.6</v>
      </c>
      <c r="V90" s="48">
        <v>109.6</v>
      </c>
      <c r="W90" s="48">
        <v>2147.67</v>
      </c>
      <c r="X90" s="48">
        <v>2607.8849999999998</v>
      </c>
      <c r="Y90" s="48">
        <v>1380.645</v>
      </c>
      <c r="Z90" s="48">
        <v>2147.67</v>
      </c>
      <c r="AA90" s="48">
        <v>365</v>
      </c>
      <c r="AB90" s="48">
        <v>365</v>
      </c>
      <c r="AC90" s="42">
        <v>420</v>
      </c>
      <c r="AD90" s="9"/>
      <c r="AE90" s="9"/>
      <c r="AF90" s="9"/>
      <c r="AG90" s="9"/>
      <c r="AH90" s="9"/>
      <c r="AI90" s="9"/>
      <c r="AJ90" s="9"/>
      <c r="AK90" s="9"/>
      <c r="AL90" s="9"/>
      <c r="AM90" s="9"/>
      <c r="AN90" s="9"/>
      <c r="AO90" s="9"/>
      <c r="AP90" s="9"/>
      <c r="AQ90" s="9"/>
      <c r="AR90" s="9"/>
      <c r="AS90" s="9"/>
    </row>
    <row r="91" spans="1:45" x14ac:dyDescent="0.25">
      <c r="A91" s="13" t="s">
        <v>69</v>
      </c>
      <c r="B91" s="48"/>
      <c r="C91" s="48"/>
      <c r="D91" s="48"/>
      <c r="E91" s="48"/>
      <c r="F91" s="48"/>
      <c r="G91" s="48"/>
      <c r="H91" s="48"/>
      <c r="I91" s="48"/>
      <c r="J91" s="48"/>
      <c r="K91" s="48"/>
      <c r="L91" s="48"/>
      <c r="M91" s="48"/>
      <c r="N91" s="48"/>
      <c r="O91" s="48"/>
      <c r="P91" s="48"/>
      <c r="Q91" s="48"/>
      <c r="R91" s="48"/>
      <c r="S91" s="48"/>
      <c r="T91" s="48"/>
      <c r="U91" s="48"/>
      <c r="V91" s="48"/>
      <c r="W91" s="48">
        <v>531.80399999999997</v>
      </c>
      <c r="X91" s="48">
        <v>645.76199999999994</v>
      </c>
      <c r="Y91" s="48">
        <v>341.87400000000002</v>
      </c>
      <c r="Z91" s="48">
        <v>531.80399999999997</v>
      </c>
      <c r="AA91" s="48"/>
      <c r="AB91" s="48"/>
      <c r="AC91" s="42">
        <v>104</v>
      </c>
    </row>
    <row r="92" spans="1:45" x14ac:dyDescent="0.25">
      <c r="A92" s="13" t="s">
        <v>70</v>
      </c>
      <c r="B92" s="48"/>
      <c r="C92" s="48"/>
      <c r="D92" s="48"/>
      <c r="E92" s="48"/>
      <c r="F92" s="48"/>
      <c r="G92" s="48"/>
      <c r="H92" s="48"/>
      <c r="I92" s="48"/>
      <c r="J92" s="48"/>
      <c r="K92" s="48"/>
      <c r="L92" s="48"/>
      <c r="M92" s="48"/>
      <c r="N92" s="48"/>
      <c r="O92" s="48"/>
      <c r="P92" s="48"/>
      <c r="Q92" s="48"/>
      <c r="R92" s="48"/>
      <c r="S92" s="48"/>
      <c r="T92" s="48"/>
      <c r="U92" s="48"/>
      <c r="V92" s="48"/>
      <c r="W92" s="48">
        <v>373.28549999999996</v>
      </c>
      <c r="X92" s="48">
        <v>453.27524999999991</v>
      </c>
      <c r="Y92" s="48">
        <v>239.96925000000002</v>
      </c>
      <c r="Z92" s="48">
        <v>373.28549999999996</v>
      </c>
      <c r="AA92" s="48"/>
      <c r="AB92" s="48"/>
      <c r="AC92" s="42">
        <v>73</v>
      </c>
    </row>
    <row r="93" spans="1:45" x14ac:dyDescent="0.25">
      <c r="A93" s="13" t="s">
        <v>71</v>
      </c>
      <c r="B93" s="48"/>
      <c r="C93" s="48"/>
      <c r="D93" s="48"/>
      <c r="E93" s="48"/>
      <c r="F93" s="48"/>
      <c r="G93" s="48"/>
      <c r="H93" s="48"/>
      <c r="I93" s="48"/>
      <c r="J93" s="48"/>
      <c r="K93" s="48"/>
      <c r="L93" s="48"/>
      <c r="M93" s="48"/>
      <c r="N93" s="48"/>
      <c r="O93" s="48"/>
      <c r="P93" s="48"/>
      <c r="Q93" s="48"/>
      <c r="R93" s="48"/>
      <c r="S93" s="48">
        <f>0.3*365</f>
        <v>109.5</v>
      </c>
      <c r="T93" s="48">
        <f>0.3*365</f>
        <v>109.5</v>
      </c>
      <c r="U93" s="48">
        <f>0.3*365</f>
        <v>109.5</v>
      </c>
      <c r="V93" s="48">
        <f>0.3*365</f>
        <v>109.5</v>
      </c>
      <c r="W93" s="48">
        <v>2001.93525</v>
      </c>
      <c r="X93" s="48">
        <v>2430.9213749999999</v>
      </c>
      <c r="Y93" s="48">
        <v>1286.9583750000002</v>
      </c>
      <c r="Z93" s="48">
        <v>2001.93525</v>
      </c>
      <c r="AA93" s="48">
        <v>273.9375</v>
      </c>
      <c r="AB93" s="48">
        <v>273.9375</v>
      </c>
      <c r="AC93" s="42">
        <v>391.5</v>
      </c>
      <c r="AD93" s="9"/>
      <c r="AE93" s="9"/>
      <c r="AF93" s="9"/>
      <c r="AG93" s="9"/>
      <c r="AH93" s="9"/>
      <c r="AI93" s="9"/>
      <c r="AJ93" s="9"/>
      <c r="AK93" s="9"/>
      <c r="AL93" s="9"/>
      <c r="AM93" s="9"/>
      <c r="AN93" s="9"/>
      <c r="AO93" s="9"/>
      <c r="AP93" s="9"/>
      <c r="AQ93" s="9"/>
      <c r="AR93" s="9"/>
      <c r="AS93" s="9"/>
    </row>
    <row r="94" spans="1:45" x14ac:dyDescent="0.25">
      <c r="A94" s="13" t="s">
        <v>72</v>
      </c>
      <c r="B94" s="48"/>
      <c r="C94" s="48"/>
      <c r="D94" s="48"/>
      <c r="E94" s="48"/>
      <c r="F94" s="48"/>
      <c r="G94" s="48"/>
      <c r="H94" s="48"/>
      <c r="I94" s="48"/>
      <c r="J94" s="48"/>
      <c r="K94" s="48"/>
      <c r="L94" s="48"/>
      <c r="M94" s="48"/>
      <c r="N94" s="48"/>
      <c r="O94" s="48"/>
      <c r="P94" s="48"/>
      <c r="Q94" s="48"/>
      <c r="R94" s="48"/>
      <c r="S94" s="48">
        <f>0.2*365</f>
        <v>73</v>
      </c>
      <c r="T94" s="48">
        <f>0.2*365</f>
        <v>73</v>
      </c>
      <c r="U94" s="48">
        <f>0.2*365</f>
        <v>73</v>
      </c>
      <c r="V94" s="48">
        <f>0.2*365</f>
        <v>73</v>
      </c>
      <c r="W94" s="48">
        <v>1393.42875</v>
      </c>
      <c r="X94" s="48">
        <v>1692.0206250000001</v>
      </c>
      <c r="Y94" s="48">
        <v>895.77562499999999</v>
      </c>
      <c r="Z94" s="48">
        <v>1393.42875</v>
      </c>
      <c r="AA94" s="48">
        <v>219.15</v>
      </c>
      <c r="AB94" s="48">
        <v>219.15</v>
      </c>
      <c r="AC94" s="42">
        <v>272.5</v>
      </c>
      <c r="AD94" s="9"/>
      <c r="AE94" s="9"/>
      <c r="AF94" s="9"/>
      <c r="AG94" s="9"/>
      <c r="AH94" s="9"/>
      <c r="AI94" s="9"/>
      <c r="AJ94" s="9"/>
      <c r="AK94" s="9"/>
      <c r="AL94" s="9"/>
      <c r="AM94" s="9"/>
      <c r="AN94" s="9"/>
      <c r="AO94" s="9"/>
      <c r="AP94" s="9"/>
      <c r="AQ94" s="9"/>
      <c r="AR94" s="9"/>
      <c r="AS94" s="9"/>
    </row>
    <row r="95" spans="1:45" x14ac:dyDescent="0.25">
      <c r="A95" s="13" t="s">
        <v>73</v>
      </c>
      <c r="B95" s="48"/>
      <c r="C95" s="48"/>
      <c r="D95" s="48"/>
      <c r="E95" s="48"/>
      <c r="F95" s="48"/>
      <c r="G95" s="48"/>
      <c r="H95" s="48"/>
      <c r="I95" s="48"/>
      <c r="J95" s="48"/>
      <c r="K95" s="48"/>
      <c r="L95" s="48"/>
      <c r="M95" s="48"/>
      <c r="N95" s="48"/>
      <c r="O95" s="48"/>
      <c r="P95" s="48"/>
      <c r="Q95" s="48"/>
      <c r="R95" s="48"/>
      <c r="S95" s="48"/>
      <c r="T95" s="48"/>
      <c r="U95" s="48"/>
      <c r="V95" s="48"/>
      <c r="W95" s="48">
        <v>664.755</v>
      </c>
      <c r="X95" s="48">
        <v>807.20249999999999</v>
      </c>
      <c r="Y95" s="48">
        <v>427.34249999999997</v>
      </c>
      <c r="Z95" s="48">
        <v>664.755</v>
      </c>
      <c r="AA95" s="48"/>
      <c r="AB95" s="48"/>
      <c r="AC95" s="42">
        <v>130</v>
      </c>
    </row>
    <row r="96" spans="1:45" x14ac:dyDescent="0.25">
      <c r="A96" s="13" t="s">
        <v>74</v>
      </c>
      <c r="B96" s="48"/>
      <c r="C96" s="48"/>
      <c r="D96" s="48"/>
      <c r="E96" s="48"/>
      <c r="F96" s="48"/>
      <c r="G96" s="48"/>
      <c r="H96" s="48"/>
      <c r="I96" s="48"/>
      <c r="J96" s="48"/>
      <c r="K96" s="48"/>
      <c r="L96" s="48"/>
      <c r="M96" s="48"/>
      <c r="N96" s="48"/>
      <c r="O96" s="48"/>
      <c r="P96" s="48"/>
      <c r="Q96" s="48"/>
      <c r="R96" s="48"/>
      <c r="S96" s="48"/>
      <c r="T96" s="48"/>
      <c r="U96" s="48"/>
      <c r="V96" s="48"/>
      <c r="W96" s="48">
        <v>434.64749999999998</v>
      </c>
      <c r="X96" s="48">
        <v>527.78624999999988</v>
      </c>
      <c r="Y96" s="48">
        <v>279.41625000000005</v>
      </c>
      <c r="Z96" s="48">
        <v>434.64749999999998</v>
      </c>
      <c r="AA96" s="48"/>
      <c r="AB96" s="48"/>
      <c r="AC96" s="42">
        <v>85</v>
      </c>
      <c r="AD96" s="9"/>
      <c r="AE96" s="9"/>
      <c r="AF96" s="9"/>
      <c r="AG96" s="9"/>
      <c r="AH96" s="9"/>
      <c r="AK96" s="9"/>
      <c r="AL96" s="9"/>
      <c r="AO96" s="9"/>
      <c r="AP96" s="9"/>
      <c r="AQ96" s="9"/>
      <c r="AR96" s="9"/>
      <c r="AS96" s="9"/>
    </row>
    <row r="97" spans="1:45" x14ac:dyDescent="0.25">
      <c r="A97" s="13" t="s">
        <v>75</v>
      </c>
      <c r="B97" s="48"/>
      <c r="C97" s="48"/>
      <c r="D97" s="48"/>
      <c r="E97" s="48"/>
      <c r="F97" s="48"/>
      <c r="G97" s="48"/>
      <c r="H97" s="48"/>
      <c r="I97" s="48"/>
      <c r="J97" s="48"/>
      <c r="K97" s="48"/>
      <c r="L97" s="48"/>
      <c r="M97" s="48"/>
      <c r="N97" s="48"/>
      <c r="O97" s="48"/>
      <c r="P97" s="48"/>
      <c r="Q97" s="48"/>
      <c r="R97" s="48"/>
      <c r="S97" s="48">
        <f>0.3*365</f>
        <v>109.5</v>
      </c>
      <c r="T97" s="48">
        <f>0.3*365</f>
        <v>109.5</v>
      </c>
      <c r="U97" s="48">
        <f>0.3*365</f>
        <v>109.5</v>
      </c>
      <c r="V97" s="48">
        <f>0.3*365</f>
        <v>109.5</v>
      </c>
      <c r="W97" s="48">
        <v>1687.4549999999999</v>
      </c>
      <c r="X97" s="48">
        <v>2049.0524999999998</v>
      </c>
      <c r="Y97" s="48">
        <v>1084.7925000000002</v>
      </c>
      <c r="Z97" s="48">
        <v>1687.4549999999999</v>
      </c>
      <c r="AA97" s="48">
        <v>273.9375</v>
      </c>
      <c r="AB97" s="48">
        <v>273.9375</v>
      </c>
      <c r="AC97" s="42">
        <v>330</v>
      </c>
      <c r="AD97" s="9"/>
      <c r="AE97" s="9"/>
      <c r="AF97" s="9"/>
      <c r="AG97" s="9"/>
      <c r="AH97" s="9"/>
      <c r="AK97" s="9"/>
      <c r="AL97" s="9"/>
      <c r="AO97" s="9"/>
      <c r="AP97" s="9"/>
      <c r="AQ97" s="9"/>
      <c r="AR97" s="9"/>
      <c r="AS97" s="9"/>
    </row>
    <row r="98" spans="1:45" x14ac:dyDescent="0.25">
      <c r="A98" s="13" t="s">
        <v>76</v>
      </c>
      <c r="B98" s="48"/>
      <c r="C98" s="48"/>
      <c r="D98" s="48"/>
      <c r="E98" s="48"/>
      <c r="F98" s="48"/>
      <c r="G98" s="48"/>
      <c r="H98" s="48"/>
      <c r="I98" s="48"/>
      <c r="J98" s="48"/>
      <c r="K98" s="48"/>
      <c r="L98" s="48"/>
      <c r="M98" s="48"/>
      <c r="N98" s="48"/>
      <c r="O98" s="48"/>
      <c r="P98" s="48"/>
      <c r="Q98" s="48"/>
      <c r="R98" s="48"/>
      <c r="S98" s="48">
        <f t="shared" ref="S98:V99" si="7">0.2*365</f>
        <v>73</v>
      </c>
      <c r="T98" s="48">
        <f t="shared" si="7"/>
        <v>73</v>
      </c>
      <c r="U98" s="48">
        <f t="shared" si="7"/>
        <v>73</v>
      </c>
      <c r="V98" s="48">
        <f t="shared" si="7"/>
        <v>73</v>
      </c>
      <c r="W98" s="48">
        <v>1209.34275</v>
      </c>
      <c r="X98" s="48">
        <v>1468.4876249999998</v>
      </c>
      <c r="Y98" s="48">
        <v>777.4346250000001</v>
      </c>
      <c r="Z98" s="48">
        <v>1209.34275</v>
      </c>
      <c r="AA98" s="48">
        <v>219.15</v>
      </c>
      <c r="AB98" s="48">
        <v>219.15</v>
      </c>
      <c r="AC98" s="42">
        <v>236.5</v>
      </c>
      <c r="AD98" s="9"/>
      <c r="AE98" s="9"/>
      <c r="AF98" s="9"/>
      <c r="AG98" s="9"/>
      <c r="AH98" s="9"/>
      <c r="AK98" s="9"/>
      <c r="AL98" s="9"/>
      <c r="AO98" s="9"/>
      <c r="AP98" s="9"/>
      <c r="AQ98" s="9"/>
      <c r="AR98" s="9"/>
      <c r="AS98" s="9"/>
    </row>
    <row r="99" spans="1:45" x14ac:dyDescent="0.25">
      <c r="A99" s="13" t="s">
        <v>77</v>
      </c>
      <c r="B99" s="48"/>
      <c r="C99" s="48"/>
      <c r="D99" s="48"/>
      <c r="E99" s="48"/>
      <c r="F99" s="48"/>
      <c r="G99" s="48"/>
      <c r="H99" s="48"/>
      <c r="I99" s="48"/>
      <c r="J99" s="48"/>
      <c r="K99" s="48"/>
      <c r="L99" s="48"/>
      <c r="M99" s="48"/>
      <c r="N99" s="48"/>
      <c r="O99" s="48"/>
      <c r="P99" s="48"/>
      <c r="Q99" s="48"/>
      <c r="R99" s="48"/>
      <c r="S99" s="48">
        <f t="shared" si="7"/>
        <v>73</v>
      </c>
      <c r="T99" s="48">
        <f t="shared" si="7"/>
        <v>73</v>
      </c>
      <c r="U99" s="48">
        <f t="shared" si="7"/>
        <v>73</v>
      </c>
      <c r="V99" s="48">
        <f t="shared" si="7"/>
        <v>73</v>
      </c>
      <c r="W99" s="48">
        <v>1534.05</v>
      </c>
      <c r="X99" s="48">
        <v>1862.7750000000001</v>
      </c>
      <c r="Y99" s="48">
        <v>986.17499999999995</v>
      </c>
      <c r="Z99" s="48">
        <v>1534.05</v>
      </c>
      <c r="AA99" s="48">
        <v>219.15</v>
      </c>
      <c r="AB99" s="48">
        <v>219.15</v>
      </c>
      <c r="AC99" s="42">
        <v>300</v>
      </c>
      <c r="AD99" s="9"/>
      <c r="AE99" s="9"/>
      <c r="AF99" s="9"/>
      <c r="AG99" s="9"/>
      <c r="AH99" s="9"/>
      <c r="AK99" s="9"/>
      <c r="AL99" s="9"/>
      <c r="AO99" s="9"/>
      <c r="AP99" s="9"/>
      <c r="AQ99" s="9"/>
      <c r="AR99" s="9"/>
      <c r="AS99" s="9"/>
    </row>
    <row r="100" spans="1:45" x14ac:dyDescent="0.25">
      <c r="A100" s="13" t="s">
        <v>78</v>
      </c>
      <c r="B100" s="48"/>
      <c r="C100" s="48"/>
      <c r="D100" s="48"/>
      <c r="E100" s="48"/>
      <c r="F100" s="48"/>
      <c r="G100" s="48"/>
      <c r="H100" s="48"/>
      <c r="I100" s="48"/>
      <c r="J100" s="48"/>
      <c r="K100" s="48"/>
      <c r="L100" s="48"/>
      <c r="M100" s="48"/>
      <c r="N100" s="48"/>
      <c r="O100" s="48"/>
      <c r="P100" s="48"/>
      <c r="Q100" s="48"/>
      <c r="R100" s="48"/>
      <c r="S100" s="48">
        <f t="shared" ref="S100:V101" si="8">0.3*365</f>
        <v>109.5</v>
      </c>
      <c r="T100" s="48">
        <f t="shared" si="8"/>
        <v>109.5</v>
      </c>
      <c r="U100" s="48">
        <f t="shared" si="8"/>
        <v>109.5</v>
      </c>
      <c r="V100" s="48">
        <f t="shared" si="8"/>
        <v>109.5</v>
      </c>
      <c r="W100" s="48">
        <v>2556.7499999999995</v>
      </c>
      <c r="X100" s="48">
        <v>3104.625</v>
      </c>
      <c r="Y100" s="48">
        <v>1643.625</v>
      </c>
      <c r="Z100" s="48">
        <v>2556.7499999999995</v>
      </c>
      <c r="AA100" s="48">
        <v>292.2</v>
      </c>
      <c r="AB100" s="48">
        <v>292.2</v>
      </c>
      <c r="AC100" s="42">
        <v>500</v>
      </c>
      <c r="AD100" s="9"/>
      <c r="AE100" s="9"/>
      <c r="AF100" s="9"/>
      <c r="AG100" s="9"/>
      <c r="AH100" s="9"/>
      <c r="AK100" s="9"/>
      <c r="AL100" s="9"/>
      <c r="AO100" s="9"/>
      <c r="AP100" s="9"/>
      <c r="AQ100" s="9"/>
      <c r="AR100" s="9"/>
      <c r="AS100" s="9"/>
    </row>
    <row r="101" spans="1:45" x14ac:dyDescent="0.25">
      <c r="A101" s="13" t="s">
        <v>79</v>
      </c>
      <c r="B101" s="48"/>
      <c r="C101" s="48"/>
      <c r="D101" s="48"/>
      <c r="E101" s="48"/>
      <c r="F101" s="48"/>
      <c r="G101" s="48"/>
      <c r="H101" s="48"/>
      <c r="I101" s="48"/>
      <c r="J101" s="48"/>
      <c r="K101" s="48"/>
      <c r="L101" s="48"/>
      <c r="M101" s="48"/>
      <c r="N101" s="48"/>
      <c r="O101" s="48"/>
      <c r="P101" s="48"/>
      <c r="Q101" s="48"/>
      <c r="R101" s="48"/>
      <c r="S101" s="48">
        <f t="shared" si="8"/>
        <v>109.5</v>
      </c>
      <c r="T101" s="48">
        <f t="shared" si="8"/>
        <v>109.5</v>
      </c>
      <c r="U101" s="48">
        <f t="shared" si="8"/>
        <v>109.5</v>
      </c>
      <c r="V101" s="48">
        <f t="shared" si="8"/>
        <v>109.5</v>
      </c>
      <c r="W101" s="48">
        <v>3579.45</v>
      </c>
      <c r="X101" s="48">
        <v>4346.4749999999995</v>
      </c>
      <c r="Y101" s="48">
        <v>2301.0750000000003</v>
      </c>
      <c r="Z101" s="48">
        <v>3579.45</v>
      </c>
      <c r="AA101" s="48">
        <v>292.2</v>
      </c>
      <c r="AB101" s="48">
        <v>292.2</v>
      </c>
      <c r="AC101" s="42">
        <v>700</v>
      </c>
      <c r="AD101" s="9"/>
      <c r="AE101" s="9"/>
      <c r="AF101" s="9"/>
      <c r="AG101" s="9"/>
      <c r="AH101" s="9"/>
      <c r="AK101" s="9"/>
      <c r="AL101" s="9"/>
      <c r="AO101" s="9"/>
      <c r="AP101" s="9"/>
      <c r="AQ101" s="9"/>
      <c r="AR101" s="9"/>
      <c r="AS101" s="9"/>
    </row>
    <row r="102" spans="1:45" x14ac:dyDescent="0.25">
      <c r="A102" s="9" t="s">
        <v>104</v>
      </c>
      <c r="B102" s="42"/>
      <c r="C102" s="42"/>
      <c r="D102" s="42"/>
      <c r="E102" s="42"/>
      <c r="F102" s="42"/>
      <c r="G102" s="42"/>
      <c r="H102" s="42"/>
      <c r="I102" s="42"/>
      <c r="J102" s="42"/>
      <c r="K102" s="42"/>
      <c r="L102" s="42"/>
      <c r="M102" s="42"/>
      <c r="N102" s="42"/>
      <c r="O102" s="42"/>
      <c r="P102" s="52"/>
      <c r="Q102" s="42"/>
      <c r="R102" s="42"/>
      <c r="S102" s="42"/>
      <c r="T102" s="42"/>
      <c r="U102" s="42"/>
      <c r="V102" s="42"/>
      <c r="W102" s="42"/>
      <c r="X102" s="42"/>
      <c r="Y102" s="42"/>
      <c r="Z102" s="42"/>
      <c r="AA102" s="42"/>
      <c r="AB102" s="42"/>
      <c r="AC102" s="44"/>
      <c r="AE102" s="9"/>
      <c r="AF102" s="9"/>
      <c r="AI102" s="9"/>
      <c r="AJ102" s="9"/>
      <c r="AK102" s="9"/>
      <c r="AL102" s="9"/>
      <c r="AM102" s="9"/>
    </row>
    <row r="103" spans="1:45" x14ac:dyDescent="0.25">
      <c r="A103" s="9" t="s">
        <v>105</v>
      </c>
      <c r="B103" s="42"/>
      <c r="C103" s="42"/>
      <c r="D103" s="42"/>
      <c r="E103" s="42"/>
      <c r="F103" s="42"/>
      <c r="G103" s="42"/>
      <c r="H103" s="42"/>
      <c r="I103" s="42"/>
      <c r="J103" s="42"/>
      <c r="K103" s="42"/>
      <c r="L103" s="42"/>
      <c r="M103" s="42"/>
      <c r="N103" s="42"/>
      <c r="O103" s="42"/>
      <c r="P103" s="52"/>
      <c r="Q103" s="42"/>
      <c r="R103" s="42"/>
      <c r="S103" s="42"/>
      <c r="T103" s="42"/>
      <c r="U103" s="42"/>
      <c r="V103" s="42"/>
      <c r="W103" s="42"/>
      <c r="X103" s="42"/>
      <c r="Y103" s="42"/>
      <c r="Z103" s="42"/>
      <c r="AA103" s="42"/>
      <c r="AB103" s="42"/>
      <c r="AC103" s="44"/>
      <c r="AE103" s="9"/>
      <c r="AF103" s="9"/>
      <c r="AI103" s="9"/>
      <c r="AJ103" s="9"/>
      <c r="AK103" s="9"/>
      <c r="AL103" s="9"/>
      <c r="AM103" s="9"/>
    </row>
    <row r="104" spans="1:45" x14ac:dyDescent="0.25">
      <c r="A104" s="9" t="s">
        <v>106</v>
      </c>
      <c r="B104" s="42"/>
      <c r="C104" s="42"/>
      <c r="D104" s="42"/>
      <c r="E104" s="42"/>
      <c r="F104" s="42"/>
      <c r="G104" s="42"/>
      <c r="H104" s="42"/>
      <c r="I104" s="42"/>
      <c r="J104" s="42"/>
      <c r="K104" s="42"/>
      <c r="L104" s="42"/>
      <c r="M104" s="42"/>
      <c r="N104" s="42"/>
      <c r="O104" s="42"/>
      <c r="P104" s="52"/>
      <c r="Q104" s="42"/>
      <c r="R104" s="42"/>
      <c r="S104" s="42"/>
      <c r="T104" s="42"/>
      <c r="U104" s="42"/>
      <c r="V104" s="42"/>
      <c r="W104" s="42"/>
      <c r="X104" s="42"/>
      <c r="Y104" s="42"/>
      <c r="Z104" s="42"/>
      <c r="AA104" s="42"/>
      <c r="AB104" s="42"/>
      <c r="AC104" s="44"/>
      <c r="AE104" s="9"/>
      <c r="AF104" s="9"/>
      <c r="AI104" s="9"/>
      <c r="AJ104" s="9"/>
      <c r="AK104" s="9"/>
      <c r="AL104" s="9"/>
      <c r="AM104" s="9"/>
    </row>
    <row r="105" spans="1:45" x14ac:dyDescent="0.25">
      <c r="A105" s="9" t="s">
        <v>107</v>
      </c>
      <c r="B105" s="42"/>
      <c r="C105" s="42"/>
      <c r="D105" s="42"/>
      <c r="E105" s="42"/>
      <c r="F105" s="42"/>
      <c r="G105" s="42"/>
      <c r="H105" s="42"/>
      <c r="I105" s="42"/>
      <c r="J105" s="42"/>
      <c r="K105" s="42"/>
      <c r="L105" s="42"/>
      <c r="M105" s="42"/>
      <c r="N105" s="42"/>
      <c r="O105" s="42"/>
      <c r="P105" s="52"/>
      <c r="Q105" s="42"/>
      <c r="R105" s="42"/>
      <c r="S105" s="42"/>
      <c r="T105" s="42"/>
      <c r="U105" s="42"/>
      <c r="V105" s="42"/>
      <c r="W105" s="42"/>
      <c r="X105" s="42"/>
      <c r="Y105" s="42"/>
      <c r="Z105" s="42"/>
      <c r="AA105" s="42"/>
      <c r="AB105" s="42"/>
      <c r="AC105" s="44"/>
      <c r="AE105" s="9"/>
      <c r="AF105" s="9"/>
      <c r="AI105" s="9"/>
      <c r="AJ105" s="9"/>
      <c r="AK105" s="9"/>
      <c r="AL105" s="9"/>
      <c r="AM105" s="9"/>
    </row>
    <row r="106" spans="1:45" x14ac:dyDescent="0.25">
      <c r="A106" s="9" t="s">
        <v>108</v>
      </c>
      <c r="B106" s="42"/>
      <c r="C106" s="42"/>
      <c r="D106" s="42"/>
      <c r="E106" s="42"/>
      <c r="F106" s="42"/>
      <c r="G106" s="42"/>
      <c r="H106" s="42"/>
      <c r="I106" s="42"/>
      <c r="J106" s="42"/>
      <c r="K106" s="42"/>
      <c r="L106" s="42"/>
      <c r="M106" s="42"/>
      <c r="N106" s="42"/>
      <c r="O106" s="42"/>
      <c r="P106" s="52"/>
      <c r="Q106" s="42"/>
      <c r="R106" s="42"/>
      <c r="S106" s="42"/>
      <c r="T106" s="42"/>
      <c r="U106" s="42"/>
      <c r="V106" s="42"/>
      <c r="W106" s="42"/>
      <c r="X106" s="42"/>
      <c r="Y106" s="42"/>
      <c r="Z106" s="42"/>
      <c r="AA106" s="42"/>
      <c r="AB106" s="42"/>
      <c r="AC106" s="44"/>
      <c r="AE106" s="9"/>
      <c r="AF106" s="9"/>
      <c r="AI106" s="9"/>
      <c r="AJ106" s="9"/>
      <c r="AK106" s="9"/>
      <c r="AL106" s="9"/>
      <c r="AM106" s="9"/>
    </row>
    <row r="107" spans="1:45" x14ac:dyDescent="0.25">
      <c r="A107" s="13"/>
      <c r="B107" s="9"/>
      <c r="C107" s="9"/>
      <c r="D107" s="9"/>
      <c r="E107" s="9"/>
      <c r="F107" s="9"/>
      <c r="G107" s="9"/>
      <c r="H107" s="9"/>
      <c r="I107" s="9"/>
      <c r="J107" s="9"/>
      <c r="K107" s="9"/>
      <c r="L107" s="9"/>
      <c r="M107" s="9"/>
      <c r="N107" s="9"/>
      <c r="O107" s="1"/>
      <c r="P107" s="9"/>
      <c r="Q107" s="9"/>
      <c r="R107" s="9"/>
      <c r="S107" s="9"/>
      <c r="T107" s="9"/>
      <c r="U107" s="9"/>
      <c r="V107" s="9"/>
      <c r="W107" s="9"/>
      <c r="X107" s="9"/>
      <c r="Y107" s="9"/>
      <c r="Z107" s="9"/>
      <c r="AA107" s="9"/>
      <c r="AD107" s="9"/>
      <c r="AE107" s="9"/>
      <c r="AH107" s="9"/>
      <c r="AI107" s="9"/>
      <c r="AJ107" s="9"/>
      <c r="AK107" s="9"/>
      <c r="AL107" s="9"/>
    </row>
    <row r="108" spans="1:45" x14ac:dyDescent="0.25">
      <c r="A108" s="39" t="s">
        <v>109</v>
      </c>
      <c r="B108" s="9" t="s">
        <v>126</v>
      </c>
      <c r="C108" s="9"/>
      <c r="D108" s="9" t="s">
        <v>127</v>
      </c>
      <c r="F108" s="9"/>
      <c r="G108" s="9"/>
      <c r="N108" s="13"/>
      <c r="W108" s="13"/>
      <c r="X108" s="16"/>
    </row>
    <row r="109" spans="1:45" x14ac:dyDescent="0.25">
      <c r="A109" s="9"/>
      <c r="B109" s="42" t="s">
        <v>110</v>
      </c>
      <c r="C109" s="42">
        <v>41.283999999999999</v>
      </c>
      <c r="D109" s="42" t="s">
        <v>733</v>
      </c>
      <c r="E109" s="42">
        <v>21.1</v>
      </c>
      <c r="F109" s="9"/>
      <c r="G109" s="9"/>
      <c r="H109" s="9"/>
      <c r="I109" s="9"/>
      <c r="J109" s="9"/>
      <c r="K109" s="9"/>
      <c r="L109" s="9"/>
      <c r="M109" s="9"/>
      <c r="N109" s="9"/>
      <c r="O109" s="9"/>
      <c r="P109" s="9"/>
      <c r="Q109" s="9"/>
      <c r="R109" s="9"/>
      <c r="S109" s="9"/>
      <c r="T109" s="9"/>
      <c r="U109" s="9"/>
      <c r="V109" s="9"/>
      <c r="W109" s="9"/>
      <c r="X109" s="15"/>
      <c r="Y109" s="9"/>
      <c r="Z109" s="9"/>
      <c r="AA109" s="9"/>
      <c r="AB109" s="9"/>
      <c r="AC109" s="9"/>
      <c r="AD109" s="9"/>
      <c r="AE109" s="9"/>
      <c r="AF109" s="9"/>
      <c r="AG109" s="74"/>
      <c r="AH109" s="74"/>
    </row>
    <row r="110" spans="1:45" ht="16.5" customHeight="1" x14ac:dyDescent="0.25">
      <c r="A110" s="9"/>
      <c r="B110" s="42" t="s">
        <v>111</v>
      </c>
      <c r="C110" s="42">
        <v>27</v>
      </c>
      <c r="D110" s="42" t="s">
        <v>110</v>
      </c>
      <c r="E110" s="42">
        <v>12.1</v>
      </c>
      <c r="F110" s="9"/>
      <c r="G110" s="9"/>
      <c r="H110" s="9"/>
      <c r="I110" s="14"/>
      <c r="J110" s="14"/>
      <c r="K110" s="14"/>
      <c r="L110" s="14"/>
      <c r="M110" s="14"/>
      <c r="N110" s="9"/>
      <c r="O110" s="14"/>
      <c r="P110" s="14"/>
      <c r="Q110" s="14"/>
      <c r="R110" s="14"/>
      <c r="S110" s="14"/>
      <c r="T110" s="14"/>
      <c r="U110" s="14"/>
      <c r="V110" s="14"/>
      <c r="W110" s="13"/>
      <c r="X110" s="17"/>
      <c r="Y110" s="14"/>
      <c r="Z110" s="14"/>
      <c r="AA110" s="14"/>
      <c r="AB110" s="14"/>
      <c r="AC110" s="14"/>
      <c r="AD110" s="14"/>
      <c r="AE110" s="14"/>
    </row>
    <row r="111" spans="1:45" ht="15" customHeight="1" x14ac:dyDescent="0.25">
      <c r="A111" s="9"/>
      <c r="B111" s="42" t="s">
        <v>112</v>
      </c>
      <c r="C111" s="42">
        <v>10</v>
      </c>
      <c r="D111" s="42" t="s">
        <v>457</v>
      </c>
      <c r="E111" s="42">
        <v>12.8</v>
      </c>
      <c r="F111" s="9"/>
      <c r="G111" s="9"/>
      <c r="H111" s="9"/>
      <c r="N111" s="9"/>
      <c r="W111" s="18"/>
      <c r="X111" s="17"/>
    </row>
    <row r="112" spans="1:45" x14ac:dyDescent="0.25">
      <c r="A112" s="9"/>
      <c r="B112" s="42" t="s">
        <v>113</v>
      </c>
      <c r="C112" s="42">
        <v>15.926</v>
      </c>
      <c r="D112" s="42" t="s">
        <v>747</v>
      </c>
      <c r="E112" s="42">
        <v>5</v>
      </c>
      <c r="F112" s="9"/>
      <c r="G112" s="9"/>
      <c r="H112" s="9"/>
      <c r="N112" s="9"/>
      <c r="W112" s="18"/>
      <c r="X112" s="17"/>
    </row>
    <row r="113" spans="1:24" x14ac:dyDescent="0.25">
      <c r="A113" s="9"/>
      <c r="B113" s="42" t="s">
        <v>114</v>
      </c>
      <c r="C113" s="42">
        <v>2</v>
      </c>
      <c r="D113" s="42" t="s">
        <v>807</v>
      </c>
      <c r="E113" s="42">
        <v>16</v>
      </c>
      <c r="F113" s="9"/>
      <c r="G113" s="9"/>
      <c r="H113" s="9"/>
      <c r="N113" s="9"/>
      <c r="W113" s="13"/>
      <c r="X113" s="19"/>
    </row>
    <row r="114" spans="1:24" x14ac:dyDescent="0.25">
      <c r="A114" s="9"/>
      <c r="B114" s="42" t="s">
        <v>115</v>
      </c>
      <c r="C114" s="42">
        <v>0.8</v>
      </c>
      <c r="D114" s="42" t="s">
        <v>782</v>
      </c>
      <c r="E114" s="42">
        <v>7.7</v>
      </c>
      <c r="F114" s="9"/>
      <c r="G114" s="9"/>
      <c r="H114" s="9"/>
      <c r="N114" s="9"/>
      <c r="W114" s="13"/>
      <c r="X114" s="17"/>
    </row>
    <row r="115" spans="1:24" x14ac:dyDescent="0.25">
      <c r="A115" s="9"/>
      <c r="B115" s="42" t="s">
        <v>116</v>
      </c>
      <c r="C115" s="42">
        <v>0.6</v>
      </c>
      <c r="D115" s="42" t="s">
        <v>808</v>
      </c>
      <c r="E115" s="42">
        <v>6.9</v>
      </c>
      <c r="F115" s="9"/>
      <c r="G115" s="9"/>
      <c r="H115" s="9"/>
      <c r="N115" s="9"/>
      <c r="W115" s="13"/>
      <c r="X115" s="17"/>
    </row>
    <row r="116" spans="1:24" x14ac:dyDescent="0.25">
      <c r="A116" s="9"/>
      <c r="B116" s="42" t="s">
        <v>117</v>
      </c>
      <c r="C116" s="42">
        <v>2.39</v>
      </c>
      <c r="D116" s="42" t="s">
        <v>688</v>
      </c>
      <c r="E116" s="42">
        <v>10.6</v>
      </c>
      <c r="F116" s="9"/>
      <c r="G116" s="9"/>
      <c r="H116" s="9"/>
      <c r="N116" s="9"/>
      <c r="W116" s="13"/>
      <c r="X116" s="17"/>
    </row>
    <row r="117" spans="1:24" x14ac:dyDescent="0.25">
      <c r="A117" s="9"/>
      <c r="B117" s="42"/>
      <c r="C117" s="42"/>
      <c r="D117" s="42" t="s">
        <v>730</v>
      </c>
      <c r="E117" s="42">
        <v>4.8</v>
      </c>
      <c r="F117" s="9"/>
      <c r="G117" s="9"/>
      <c r="H117" s="9"/>
      <c r="N117" s="9"/>
      <c r="W117" s="13"/>
      <c r="X117" s="17"/>
    </row>
    <row r="118" spans="1:24" x14ac:dyDescent="0.25">
      <c r="A118" s="9"/>
      <c r="B118" s="42"/>
      <c r="C118" s="42"/>
      <c r="D118" s="42" t="s">
        <v>379</v>
      </c>
      <c r="E118" s="42">
        <v>1.3</v>
      </c>
      <c r="F118" s="9"/>
      <c r="G118" s="9"/>
      <c r="H118" s="9"/>
      <c r="N118" s="9"/>
      <c r="W118" s="13"/>
      <c r="X118" s="17"/>
    </row>
    <row r="119" spans="1:24" x14ac:dyDescent="0.25">
      <c r="A119" s="9"/>
      <c r="B119" s="42"/>
      <c r="C119" s="42"/>
      <c r="D119" s="42" t="s">
        <v>667</v>
      </c>
      <c r="E119" s="42">
        <v>0.3</v>
      </c>
      <c r="F119" s="9"/>
      <c r="G119" s="9"/>
      <c r="H119" s="9"/>
      <c r="N119" s="9"/>
      <c r="W119" s="9"/>
      <c r="X119" s="17"/>
    </row>
    <row r="120" spans="1:24" x14ac:dyDescent="0.25">
      <c r="A120" s="9"/>
      <c r="B120" s="42"/>
      <c r="C120" s="42"/>
      <c r="D120" s="42" t="s">
        <v>176</v>
      </c>
      <c r="E120" s="42">
        <v>0</v>
      </c>
      <c r="F120" s="9"/>
      <c r="G120" s="9"/>
      <c r="H120" s="9"/>
      <c r="N120" s="9"/>
      <c r="W120" s="9"/>
      <c r="X120" s="17"/>
    </row>
    <row r="121" spans="1:24" x14ac:dyDescent="0.25">
      <c r="A121" s="9"/>
      <c r="B121" s="42"/>
      <c r="C121" s="42"/>
      <c r="D121" s="42" t="s">
        <v>177</v>
      </c>
      <c r="E121" s="42">
        <v>1.4</v>
      </c>
      <c r="F121" s="9"/>
      <c r="G121" s="9"/>
      <c r="H121" s="9"/>
      <c r="N121" s="9"/>
      <c r="W121" s="13"/>
      <c r="X121" s="17"/>
    </row>
    <row r="122" spans="1:24" x14ac:dyDescent="0.25">
      <c r="A122" s="9"/>
      <c r="B122" s="42"/>
      <c r="C122" s="42"/>
      <c r="D122" s="42" t="s">
        <v>174</v>
      </c>
      <c r="E122" s="42">
        <v>0</v>
      </c>
      <c r="F122" s="9"/>
      <c r="G122" s="9"/>
      <c r="H122" s="9"/>
      <c r="N122" s="9"/>
      <c r="W122" s="13"/>
      <c r="X122" s="16"/>
    </row>
    <row r="123" spans="1:24" x14ac:dyDescent="0.25">
      <c r="A123" s="9"/>
      <c r="B123" s="42"/>
      <c r="C123" s="42"/>
      <c r="D123" s="42"/>
      <c r="E123" s="42"/>
      <c r="F123" s="9"/>
      <c r="G123" s="9"/>
      <c r="H123" s="9"/>
      <c r="N123" s="9"/>
      <c r="W123" s="13"/>
      <c r="X123" s="16"/>
    </row>
    <row r="124" spans="1:24" x14ac:dyDescent="0.25">
      <c r="A124" s="9"/>
      <c r="B124" s="42"/>
      <c r="C124" s="42"/>
      <c r="D124" s="42"/>
      <c r="E124" s="42"/>
      <c r="F124" s="9"/>
      <c r="G124" s="9"/>
      <c r="H124" s="9"/>
      <c r="N124" s="9"/>
      <c r="W124" s="13"/>
      <c r="X124" s="16"/>
    </row>
    <row r="125" spans="1:24" ht="15" customHeight="1" x14ac:dyDescent="0.25">
      <c r="A125" s="9"/>
      <c r="B125" s="42"/>
      <c r="C125" s="42"/>
      <c r="D125" s="42"/>
      <c r="E125" s="42"/>
      <c r="F125" s="9"/>
      <c r="G125" s="9"/>
      <c r="H125" s="9"/>
      <c r="W125" s="2"/>
      <c r="X125" s="15"/>
    </row>
    <row r="126" spans="1:24" x14ac:dyDescent="0.25">
      <c r="V126" s="13"/>
      <c r="W126" s="15"/>
    </row>
    <row r="127" spans="1:24" x14ac:dyDescent="0.25">
      <c r="A127" s="39" t="s">
        <v>125</v>
      </c>
      <c r="B127" t="s">
        <v>126</v>
      </c>
      <c r="C127" t="s">
        <v>127</v>
      </c>
      <c r="D127" t="s">
        <v>128</v>
      </c>
      <c r="E127" s="9" t="s">
        <v>129</v>
      </c>
      <c r="V127" s="13"/>
      <c r="W127" s="15"/>
    </row>
    <row r="128" spans="1:24" x14ac:dyDescent="0.25">
      <c r="A128" s="9" t="s">
        <v>130</v>
      </c>
      <c r="B128" s="42">
        <v>65</v>
      </c>
      <c r="C128" s="42">
        <v>51</v>
      </c>
      <c r="D128" s="42">
        <v>51</v>
      </c>
      <c r="E128" s="42">
        <v>51</v>
      </c>
      <c r="M128" s="9"/>
      <c r="V128" s="13"/>
      <c r="W128" s="15"/>
    </row>
    <row r="129" spans="1:13" s="9" customFormat="1" ht="16.5" x14ac:dyDescent="0.2">
      <c r="A129" s="9" t="s">
        <v>131</v>
      </c>
      <c r="B129" s="42">
        <v>6</v>
      </c>
      <c r="C129" s="42">
        <v>6</v>
      </c>
      <c r="D129" s="42">
        <v>6</v>
      </c>
      <c r="E129" s="42">
        <v>6</v>
      </c>
    </row>
    <row r="130" spans="1:13" x14ac:dyDescent="0.25">
      <c r="A130" s="9" t="s">
        <v>132</v>
      </c>
      <c r="B130" s="42">
        <v>40</v>
      </c>
      <c r="C130" s="42">
        <v>40</v>
      </c>
      <c r="D130" s="42">
        <v>40</v>
      </c>
      <c r="E130" s="42">
        <v>40</v>
      </c>
      <c r="M130" s="14"/>
    </row>
    <row r="131" spans="1:13" x14ac:dyDescent="0.25">
      <c r="A131" s="9" t="s">
        <v>133</v>
      </c>
      <c r="B131" s="42">
        <v>64</v>
      </c>
      <c r="C131" s="42">
        <v>64</v>
      </c>
      <c r="D131" s="42">
        <v>64</v>
      </c>
      <c r="E131" s="42">
        <v>64</v>
      </c>
    </row>
    <row r="132" spans="1:13" x14ac:dyDescent="0.25">
      <c r="A132" s="9" t="s">
        <v>134</v>
      </c>
      <c r="B132" s="42">
        <v>40</v>
      </c>
      <c r="C132" s="42">
        <v>40</v>
      </c>
      <c r="D132" s="42">
        <v>40</v>
      </c>
      <c r="E132" s="42">
        <v>40</v>
      </c>
    </row>
    <row r="133" spans="1:13" x14ac:dyDescent="0.25">
      <c r="A133" s="9" t="s">
        <v>135</v>
      </c>
      <c r="B133" s="42">
        <v>64</v>
      </c>
      <c r="C133" s="42">
        <v>64</v>
      </c>
      <c r="D133" s="42">
        <v>64</v>
      </c>
      <c r="E133" s="42">
        <v>64</v>
      </c>
    </row>
    <row r="134" spans="1:13" x14ac:dyDescent="0.25">
      <c r="A134" s="9"/>
    </row>
    <row r="135" spans="1:13" x14ac:dyDescent="0.25">
      <c r="A135" s="39" t="s">
        <v>136</v>
      </c>
      <c r="B135" s="9" t="s">
        <v>126</v>
      </c>
      <c r="C135" s="9" t="s">
        <v>127</v>
      </c>
    </row>
    <row r="136" spans="1:13" x14ac:dyDescent="0.25">
      <c r="A136" s="9" t="s">
        <v>137</v>
      </c>
      <c r="B136" s="42">
        <v>31.3</v>
      </c>
      <c r="C136" s="42">
        <v>31.2</v>
      </c>
    </row>
    <row r="137" spans="1:13" x14ac:dyDescent="0.25">
      <c r="A137" s="9" t="s">
        <v>138</v>
      </c>
      <c r="B137" s="42">
        <v>81000</v>
      </c>
      <c r="C137" s="42">
        <v>81000</v>
      </c>
    </row>
    <row r="138" spans="1:13" x14ac:dyDescent="0.25">
      <c r="A138" s="9" t="s">
        <v>139</v>
      </c>
      <c r="B138" s="42">
        <v>0.7</v>
      </c>
      <c r="C138" s="42">
        <v>0.42</v>
      </c>
    </row>
    <row r="139" spans="1:13" x14ac:dyDescent="0.25">
      <c r="A139" s="9" t="s">
        <v>140</v>
      </c>
      <c r="B139" s="42">
        <v>6.67</v>
      </c>
      <c r="C139" s="42">
        <v>6.67</v>
      </c>
    </row>
    <row r="140" spans="1:13" x14ac:dyDescent="0.25">
      <c r="A140" s="9"/>
      <c r="B140" s="9"/>
      <c r="C140" s="9"/>
    </row>
    <row r="141" spans="1:13" x14ac:dyDescent="0.25">
      <c r="A141" s="9"/>
      <c r="B141" s="9"/>
      <c r="C141" s="9"/>
    </row>
    <row r="142" spans="1:13" x14ac:dyDescent="0.25">
      <c r="A142" s="39" t="s">
        <v>141</v>
      </c>
      <c r="B142" s="9" t="s">
        <v>126</v>
      </c>
      <c r="C142" s="9" t="s">
        <v>127</v>
      </c>
    </row>
    <row r="143" spans="1:13" ht="15" customHeight="1" x14ac:dyDescent="0.25">
      <c r="A143" s="9" t="s">
        <v>142</v>
      </c>
      <c r="B143" s="42">
        <v>54</v>
      </c>
      <c r="C143" s="42">
        <v>72</v>
      </c>
    </row>
    <row r="144" spans="1:13" x14ac:dyDescent="0.25">
      <c r="A144" s="9" t="s">
        <v>143</v>
      </c>
      <c r="B144" s="42">
        <v>23</v>
      </c>
      <c r="C144" s="42">
        <v>48</v>
      </c>
    </row>
    <row r="145" spans="1:28" x14ac:dyDescent="0.25">
      <c r="A145" s="9" t="s">
        <v>144</v>
      </c>
      <c r="B145" s="42">
        <v>15</v>
      </c>
      <c r="C145" s="42">
        <v>48</v>
      </c>
    </row>
    <row r="146" spans="1:28" x14ac:dyDescent="0.25">
      <c r="A146" s="9"/>
      <c r="B146" s="9"/>
    </row>
    <row r="147" spans="1:28" x14ac:dyDescent="0.25">
      <c r="A147" s="20" t="s">
        <v>145</v>
      </c>
      <c r="B147" s="9" t="s">
        <v>8</v>
      </c>
      <c r="C147" s="9" t="s">
        <v>9</v>
      </c>
      <c r="D147" s="9" t="s">
        <v>10</v>
      </c>
      <c r="E147" s="9" t="s">
        <v>11</v>
      </c>
      <c r="F147" s="9" t="s">
        <v>12</v>
      </c>
      <c r="G147" s="9" t="s">
        <v>13</v>
      </c>
      <c r="H147" s="9" t="s">
        <v>14</v>
      </c>
      <c r="I147" s="9" t="s">
        <v>15</v>
      </c>
      <c r="J147" s="9" t="s">
        <v>17</v>
      </c>
      <c r="K147" s="9" t="s">
        <v>18</v>
      </c>
      <c r="L147" s="9" t="s">
        <v>19</v>
      </c>
      <c r="M147" s="9" t="s">
        <v>20</v>
      </c>
      <c r="N147" s="9" t="s">
        <v>21</v>
      </c>
      <c r="O147" s="9" t="s">
        <v>22</v>
      </c>
      <c r="P147" s="9" t="s">
        <v>23</v>
      </c>
      <c r="Q147" s="9" t="s">
        <v>24</v>
      </c>
      <c r="R147" s="9" t="s">
        <v>25</v>
      </c>
      <c r="S147" s="9" t="s">
        <v>26</v>
      </c>
      <c r="T147" s="9" t="s">
        <v>27</v>
      </c>
      <c r="U147" s="9" t="s">
        <v>28</v>
      </c>
      <c r="V147" t="s">
        <v>29</v>
      </c>
      <c r="W147" t="s">
        <v>30</v>
      </c>
      <c r="X147" t="s">
        <v>31</v>
      </c>
      <c r="Y147" t="s">
        <v>52</v>
      </c>
      <c r="Z147" t="s">
        <v>33</v>
      </c>
      <c r="AA147" t="s">
        <v>34</v>
      </c>
      <c r="AB147" s="2"/>
    </row>
    <row r="148" spans="1:28" x14ac:dyDescent="0.25">
      <c r="A148" s="13" t="s">
        <v>53</v>
      </c>
      <c r="B148" s="42">
        <v>0</v>
      </c>
      <c r="C148" s="42">
        <v>0</v>
      </c>
      <c r="D148" s="42">
        <v>0</v>
      </c>
      <c r="E148" s="42">
        <v>0</v>
      </c>
      <c r="F148" s="42">
        <v>13.7</v>
      </c>
      <c r="G148" s="42">
        <v>0</v>
      </c>
      <c r="H148" s="42">
        <v>0</v>
      </c>
      <c r="I148" s="42">
        <v>0</v>
      </c>
      <c r="J148" s="42">
        <v>0</v>
      </c>
      <c r="K148" s="42">
        <v>0</v>
      </c>
      <c r="L148" s="42">
        <v>0</v>
      </c>
      <c r="M148" s="42">
        <v>0</v>
      </c>
      <c r="N148" s="42">
        <v>0</v>
      </c>
      <c r="O148" s="42">
        <v>0</v>
      </c>
      <c r="P148" s="42">
        <v>0</v>
      </c>
      <c r="Q148" s="42">
        <v>0</v>
      </c>
      <c r="R148" s="42">
        <v>0</v>
      </c>
      <c r="S148" s="42">
        <v>0</v>
      </c>
      <c r="T148" s="42">
        <v>0</v>
      </c>
      <c r="U148" s="42">
        <v>0</v>
      </c>
      <c r="V148" s="42">
        <v>0</v>
      </c>
      <c r="W148" s="42">
        <v>0</v>
      </c>
      <c r="X148" s="42">
        <v>0</v>
      </c>
      <c r="Y148" s="42">
        <v>0</v>
      </c>
      <c r="Z148" s="42">
        <v>0</v>
      </c>
      <c r="AA148" s="42">
        <v>0</v>
      </c>
      <c r="AB148" s="9"/>
    </row>
    <row r="149" spans="1:28" x14ac:dyDescent="0.25">
      <c r="A149" s="13" t="s">
        <v>54</v>
      </c>
      <c r="B149" s="42">
        <v>0</v>
      </c>
      <c r="C149" s="42">
        <v>0</v>
      </c>
      <c r="D149" s="42">
        <v>0</v>
      </c>
      <c r="E149" s="42">
        <v>0</v>
      </c>
      <c r="F149" s="42">
        <v>0</v>
      </c>
      <c r="G149" s="42">
        <v>0</v>
      </c>
      <c r="H149" s="42">
        <v>0</v>
      </c>
      <c r="I149" s="42">
        <v>0</v>
      </c>
      <c r="J149" s="42">
        <v>0</v>
      </c>
      <c r="K149" s="42">
        <v>0</v>
      </c>
      <c r="L149" s="42">
        <v>0</v>
      </c>
      <c r="M149" s="42">
        <v>0</v>
      </c>
      <c r="N149" s="42">
        <v>0</v>
      </c>
      <c r="O149" s="42">
        <v>0</v>
      </c>
      <c r="P149" s="42">
        <v>0</v>
      </c>
      <c r="Q149" s="42">
        <v>8.23</v>
      </c>
      <c r="R149" s="42">
        <v>0</v>
      </c>
      <c r="S149" s="42">
        <v>0</v>
      </c>
      <c r="T149" s="42">
        <v>0</v>
      </c>
      <c r="U149" s="42">
        <v>0</v>
      </c>
      <c r="V149" s="42">
        <v>0</v>
      </c>
      <c r="W149" s="42">
        <v>0</v>
      </c>
      <c r="X149" s="42">
        <v>0</v>
      </c>
      <c r="Y149" s="42">
        <v>0</v>
      </c>
      <c r="Z149" s="42">
        <v>0</v>
      </c>
      <c r="AA149" s="42">
        <v>0</v>
      </c>
      <c r="AB149" s="9"/>
    </row>
    <row r="150" spans="1:28" x14ac:dyDescent="0.25">
      <c r="A150" s="13" t="s">
        <v>55</v>
      </c>
      <c r="B150" s="42">
        <v>0</v>
      </c>
      <c r="C150" s="42">
        <v>0</v>
      </c>
      <c r="D150" s="42">
        <v>0</v>
      </c>
      <c r="E150" s="42">
        <v>0</v>
      </c>
      <c r="F150" s="42">
        <v>0</v>
      </c>
      <c r="G150" s="42">
        <v>0</v>
      </c>
      <c r="H150" s="42">
        <v>17.96</v>
      </c>
      <c r="I150" s="42">
        <v>17.96</v>
      </c>
      <c r="J150" s="42">
        <v>0</v>
      </c>
      <c r="K150" s="42">
        <v>0</v>
      </c>
      <c r="L150" s="42">
        <v>0</v>
      </c>
      <c r="M150" s="42">
        <v>0</v>
      </c>
      <c r="N150" s="42">
        <v>0</v>
      </c>
      <c r="O150" s="42">
        <v>0</v>
      </c>
      <c r="P150" s="42">
        <v>0</v>
      </c>
      <c r="Q150" s="42">
        <v>0</v>
      </c>
      <c r="R150" s="42">
        <v>0</v>
      </c>
      <c r="S150" s="42">
        <v>0</v>
      </c>
      <c r="T150" s="42">
        <v>0</v>
      </c>
      <c r="U150" s="42">
        <v>0</v>
      </c>
      <c r="V150" s="42">
        <v>0</v>
      </c>
      <c r="W150" s="42">
        <v>0</v>
      </c>
      <c r="X150" s="42">
        <v>0</v>
      </c>
      <c r="Y150" s="42">
        <v>0</v>
      </c>
      <c r="Z150" s="42">
        <v>0</v>
      </c>
      <c r="AA150" s="42">
        <v>0</v>
      </c>
      <c r="AB150" s="9"/>
    </row>
    <row r="151" spans="1:28" x14ac:dyDescent="0.25">
      <c r="A151" s="13" t="s">
        <v>56</v>
      </c>
      <c r="B151" s="42">
        <v>0</v>
      </c>
      <c r="C151" s="42">
        <v>0</v>
      </c>
      <c r="D151" s="42">
        <v>0</v>
      </c>
      <c r="E151" s="42">
        <v>0</v>
      </c>
      <c r="F151" s="42">
        <v>0</v>
      </c>
      <c r="G151" s="42">
        <v>0</v>
      </c>
      <c r="H151" s="42">
        <v>0</v>
      </c>
      <c r="I151" s="42">
        <v>0</v>
      </c>
      <c r="J151" s="42">
        <v>0</v>
      </c>
      <c r="K151" s="42">
        <v>0</v>
      </c>
      <c r="L151" s="42">
        <v>0</v>
      </c>
      <c r="M151" s="42">
        <v>0</v>
      </c>
      <c r="N151" s="42">
        <v>0</v>
      </c>
      <c r="O151" s="42">
        <v>0</v>
      </c>
      <c r="P151" s="42">
        <v>0</v>
      </c>
      <c r="Q151" s="42">
        <v>0</v>
      </c>
      <c r="R151" s="42">
        <v>0</v>
      </c>
      <c r="S151" s="42">
        <v>0</v>
      </c>
      <c r="T151" s="42">
        <v>0</v>
      </c>
      <c r="U151" s="42">
        <v>0</v>
      </c>
      <c r="V151" s="42">
        <v>0</v>
      </c>
      <c r="W151" s="42">
        <v>0</v>
      </c>
      <c r="X151" s="42">
        <v>0</v>
      </c>
      <c r="Y151" s="42">
        <v>0</v>
      </c>
      <c r="Z151" s="42">
        <v>0</v>
      </c>
      <c r="AA151" s="42">
        <v>0</v>
      </c>
      <c r="AB151" s="9"/>
    </row>
    <row r="152" spans="1:28" x14ac:dyDescent="0.25">
      <c r="A152" s="13" t="s">
        <v>57</v>
      </c>
      <c r="B152" s="42">
        <v>0</v>
      </c>
      <c r="C152" s="42">
        <v>0</v>
      </c>
      <c r="D152" s="42">
        <v>0</v>
      </c>
      <c r="E152" s="42">
        <v>0</v>
      </c>
      <c r="F152" s="42">
        <v>0</v>
      </c>
      <c r="G152" s="42">
        <v>0</v>
      </c>
      <c r="H152" s="42">
        <v>17.96</v>
      </c>
      <c r="I152" s="42">
        <v>17.96</v>
      </c>
      <c r="J152" s="42">
        <v>0</v>
      </c>
      <c r="K152" s="42">
        <v>0</v>
      </c>
      <c r="L152" s="42">
        <v>0</v>
      </c>
      <c r="M152" s="42">
        <v>0</v>
      </c>
      <c r="N152" s="42">
        <v>0</v>
      </c>
      <c r="O152" s="42">
        <v>0</v>
      </c>
      <c r="P152" s="42">
        <v>0</v>
      </c>
      <c r="Q152" s="42">
        <v>0</v>
      </c>
      <c r="R152" s="42">
        <v>0</v>
      </c>
      <c r="S152" s="42">
        <v>0</v>
      </c>
      <c r="T152" s="42">
        <v>0</v>
      </c>
      <c r="U152" s="42">
        <v>0</v>
      </c>
      <c r="V152" s="42">
        <v>0</v>
      </c>
      <c r="W152" s="42">
        <v>0</v>
      </c>
      <c r="X152" s="42">
        <v>0</v>
      </c>
      <c r="Y152" s="42">
        <v>0</v>
      </c>
      <c r="Z152" s="42">
        <v>0</v>
      </c>
      <c r="AA152" s="42">
        <v>0</v>
      </c>
      <c r="AB152" s="9"/>
    </row>
    <row r="153" spans="1:28" x14ac:dyDescent="0.25">
      <c r="A153" s="13" t="s">
        <v>58</v>
      </c>
      <c r="B153" s="42">
        <v>0</v>
      </c>
      <c r="C153" s="42">
        <v>0</v>
      </c>
      <c r="D153" s="42">
        <v>0</v>
      </c>
      <c r="E153" s="42">
        <v>0</v>
      </c>
      <c r="F153" s="42">
        <v>0</v>
      </c>
      <c r="G153" s="42">
        <v>0</v>
      </c>
      <c r="H153" s="42">
        <v>17.96</v>
      </c>
      <c r="I153" s="42">
        <v>17.96</v>
      </c>
      <c r="J153" s="42">
        <v>0</v>
      </c>
      <c r="K153" s="42">
        <v>0</v>
      </c>
      <c r="L153" s="42">
        <v>0</v>
      </c>
      <c r="M153" s="42">
        <v>0</v>
      </c>
      <c r="N153" s="42">
        <v>0</v>
      </c>
      <c r="O153" s="42">
        <v>0</v>
      </c>
      <c r="P153" s="42">
        <v>0</v>
      </c>
      <c r="Q153" s="42">
        <v>0</v>
      </c>
      <c r="R153" s="42">
        <v>0</v>
      </c>
      <c r="S153" s="42">
        <v>0</v>
      </c>
      <c r="T153" s="42">
        <v>0</v>
      </c>
      <c r="U153" s="42">
        <v>0</v>
      </c>
      <c r="V153" s="42">
        <v>0</v>
      </c>
      <c r="W153" s="42">
        <v>0</v>
      </c>
      <c r="X153" s="42">
        <v>0</v>
      </c>
      <c r="Y153" s="42">
        <v>0</v>
      </c>
      <c r="Z153" s="42">
        <v>0</v>
      </c>
      <c r="AA153" s="42">
        <v>0</v>
      </c>
      <c r="AB153" s="9"/>
    </row>
    <row r="154" spans="1:28" x14ac:dyDescent="0.25">
      <c r="A154" s="13" t="s">
        <v>59</v>
      </c>
      <c r="B154" s="42">
        <v>0</v>
      </c>
      <c r="C154" s="42">
        <v>0</v>
      </c>
      <c r="D154" s="42">
        <v>0</v>
      </c>
      <c r="E154" s="42">
        <v>0</v>
      </c>
      <c r="F154" s="42">
        <v>0</v>
      </c>
      <c r="G154" s="42">
        <v>0</v>
      </c>
      <c r="H154" s="42">
        <v>0</v>
      </c>
      <c r="I154" s="42">
        <v>0</v>
      </c>
      <c r="J154" s="42">
        <v>0</v>
      </c>
      <c r="K154" s="42">
        <v>0</v>
      </c>
      <c r="L154" s="42">
        <v>0</v>
      </c>
      <c r="M154" s="42">
        <v>0</v>
      </c>
      <c r="N154" s="42">
        <v>0</v>
      </c>
      <c r="O154" s="42">
        <v>0</v>
      </c>
      <c r="P154" s="42">
        <v>0</v>
      </c>
      <c r="Q154" s="42">
        <v>0</v>
      </c>
      <c r="R154" s="42">
        <v>0</v>
      </c>
      <c r="S154" s="42">
        <v>0</v>
      </c>
      <c r="T154" s="42">
        <v>0</v>
      </c>
      <c r="U154" s="42">
        <v>0</v>
      </c>
      <c r="V154" s="42">
        <v>17</v>
      </c>
      <c r="W154" s="42">
        <v>17</v>
      </c>
      <c r="X154" s="42">
        <v>17</v>
      </c>
      <c r="Y154" s="42">
        <v>3</v>
      </c>
      <c r="Z154" s="42">
        <v>0</v>
      </c>
      <c r="AA154" s="42">
        <v>0</v>
      </c>
      <c r="AB154" s="9"/>
    </row>
    <row r="155" spans="1:28" x14ac:dyDescent="0.25">
      <c r="A155" s="13" t="s">
        <v>60</v>
      </c>
      <c r="B155" s="42">
        <v>0</v>
      </c>
      <c r="C155" s="42">
        <v>0</v>
      </c>
      <c r="D155" s="42">
        <v>0</v>
      </c>
      <c r="E155" s="42">
        <v>0</v>
      </c>
      <c r="F155" s="42">
        <v>0</v>
      </c>
      <c r="G155" s="42">
        <v>0</v>
      </c>
      <c r="H155" s="42">
        <v>0</v>
      </c>
      <c r="I155" s="42">
        <v>0</v>
      </c>
      <c r="J155" s="42">
        <v>0</v>
      </c>
      <c r="K155" s="42">
        <v>0</v>
      </c>
      <c r="L155" s="42">
        <v>0</v>
      </c>
      <c r="M155" s="42">
        <v>0</v>
      </c>
      <c r="N155" s="42">
        <v>0</v>
      </c>
      <c r="O155" s="42">
        <v>0</v>
      </c>
      <c r="P155" s="42">
        <v>0</v>
      </c>
      <c r="Q155" s="42">
        <v>0</v>
      </c>
      <c r="R155" s="42">
        <v>0</v>
      </c>
      <c r="S155" s="42">
        <v>0</v>
      </c>
      <c r="T155" s="42">
        <v>0</v>
      </c>
      <c r="U155" s="42">
        <v>0</v>
      </c>
      <c r="V155" s="42">
        <v>17</v>
      </c>
      <c r="W155" s="42">
        <v>17</v>
      </c>
      <c r="X155" s="42">
        <v>17</v>
      </c>
      <c r="Y155" s="42">
        <v>3</v>
      </c>
      <c r="Z155" s="42">
        <v>0</v>
      </c>
      <c r="AA155" s="42">
        <v>0</v>
      </c>
      <c r="AB155" s="9"/>
    </row>
    <row r="156" spans="1:28" x14ac:dyDescent="0.25">
      <c r="A156" s="13" t="s">
        <v>61</v>
      </c>
      <c r="B156" s="42">
        <v>0</v>
      </c>
      <c r="C156" s="42">
        <v>0</v>
      </c>
      <c r="D156" s="42">
        <v>0</v>
      </c>
      <c r="E156" s="42">
        <v>0</v>
      </c>
      <c r="F156" s="42">
        <v>0</v>
      </c>
      <c r="G156" s="42">
        <v>0</v>
      </c>
      <c r="H156" s="42">
        <v>0</v>
      </c>
      <c r="I156" s="42">
        <v>0</v>
      </c>
      <c r="J156" s="42">
        <v>0</v>
      </c>
      <c r="K156" s="42">
        <v>0</v>
      </c>
      <c r="L156" s="42">
        <v>0</v>
      </c>
      <c r="M156" s="42">
        <v>0</v>
      </c>
      <c r="N156" s="42">
        <v>0</v>
      </c>
      <c r="O156" s="42">
        <v>0</v>
      </c>
      <c r="P156" s="42">
        <v>0</v>
      </c>
      <c r="Q156" s="42">
        <v>0</v>
      </c>
      <c r="R156" s="42">
        <v>0</v>
      </c>
      <c r="S156" s="42">
        <v>0</v>
      </c>
      <c r="T156" s="42">
        <v>0</v>
      </c>
      <c r="U156" s="42">
        <v>0</v>
      </c>
      <c r="V156" s="42">
        <v>17</v>
      </c>
      <c r="W156" s="42">
        <v>17</v>
      </c>
      <c r="X156" s="42">
        <v>17</v>
      </c>
      <c r="Y156" s="42">
        <v>3</v>
      </c>
      <c r="Z156" s="42">
        <v>0</v>
      </c>
      <c r="AA156" s="42">
        <v>0</v>
      </c>
      <c r="AB156" s="9"/>
    </row>
    <row r="157" spans="1:28" ht="15" customHeight="1" x14ac:dyDescent="0.25">
      <c r="A157" s="13" t="s">
        <v>62</v>
      </c>
      <c r="B157" s="42">
        <v>0</v>
      </c>
      <c r="C157" s="42">
        <v>0</v>
      </c>
      <c r="D157" s="42">
        <v>0</v>
      </c>
      <c r="E157" s="42">
        <v>0</v>
      </c>
      <c r="F157" s="42">
        <v>0</v>
      </c>
      <c r="G157" s="42">
        <v>0</v>
      </c>
      <c r="H157" s="42">
        <v>0</v>
      </c>
      <c r="I157" s="42">
        <v>0</v>
      </c>
      <c r="J157" s="42">
        <v>0</v>
      </c>
      <c r="K157" s="42">
        <v>0</v>
      </c>
      <c r="L157" s="42">
        <v>0</v>
      </c>
      <c r="M157" s="42">
        <v>0</v>
      </c>
      <c r="N157" s="42">
        <v>0</v>
      </c>
      <c r="O157" s="42">
        <v>0</v>
      </c>
      <c r="P157" s="42">
        <v>0</v>
      </c>
      <c r="Q157" s="42">
        <v>0</v>
      </c>
      <c r="R157" s="42">
        <v>0</v>
      </c>
      <c r="S157" s="42">
        <v>0</v>
      </c>
      <c r="T157" s="42">
        <v>0</v>
      </c>
      <c r="U157" s="42">
        <v>0</v>
      </c>
      <c r="V157" s="42">
        <v>17</v>
      </c>
      <c r="W157" s="42">
        <v>17</v>
      </c>
      <c r="X157" s="42">
        <v>17</v>
      </c>
      <c r="Y157" s="42">
        <v>3</v>
      </c>
      <c r="Z157" s="42">
        <v>0</v>
      </c>
      <c r="AA157" s="42">
        <v>0</v>
      </c>
      <c r="AB157" s="9"/>
    </row>
    <row r="158" spans="1:28" x14ac:dyDescent="0.25">
      <c r="A158" s="13" t="s">
        <v>63</v>
      </c>
      <c r="B158" s="42">
        <v>0</v>
      </c>
      <c r="C158" s="42">
        <v>0</v>
      </c>
      <c r="D158" s="42">
        <v>0</v>
      </c>
      <c r="E158" s="42">
        <v>0</v>
      </c>
      <c r="F158" s="42">
        <v>0</v>
      </c>
      <c r="G158" s="42">
        <v>0</v>
      </c>
      <c r="H158" s="42">
        <v>0</v>
      </c>
      <c r="I158" s="42">
        <v>0</v>
      </c>
      <c r="J158" s="42">
        <v>0</v>
      </c>
      <c r="K158" s="42">
        <v>0</v>
      </c>
      <c r="L158" s="42">
        <v>0</v>
      </c>
      <c r="M158" s="42">
        <v>0</v>
      </c>
      <c r="N158" s="42">
        <v>0</v>
      </c>
      <c r="O158" s="42">
        <v>0</v>
      </c>
      <c r="P158" s="42">
        <v>0</v>
      </c>
      <c r="Q158" s="42">
        <v>0</v>
      </c>
      <c r="R158" s="42">
        <v>0</v>
      </c>
      <c r="S158" s="42">
        <v>0</v>
      </c>
      <c r="T158" s="42">
        <v>0</v>
      </c>
      <c r="U158" s="42">
        <v>0</v>
      </c>
      <c r="V158" s="42">
        <v>17</v>
      </c>
      <c r="W158" s="42">
        <v>17</v>
      </c>
      <c r="X158" s="42">
        <v>17</v>
      </c>
      <c r="Y158" s="42">
        <v>3</v>
      </c>
      <c r="Z158" s="42">
        <v>0</v>
      </c>
      <c r="AA158" s="42">
        <v>0</v>
      </c>
      <c r="AB158" s="9"/>
    </row>
    <row r="159" spans="1:28" x14ac:dyDescent="0.25">
      <c r="A159" s="13" t="s">
        <v>64</v>
      </c>
      <c r="B159" s="42">
        <v>0</v>
      </c>
      <c r="C159" s="42">
        <v>0</v>
      </c>
      <c r="D159" s="42">
        <v>0</v>
      </c>
      <c r="E159" s="42">
        <v>0</v>
      </c>
      <c r="F159" s="42">
        <v>0</v>
      </c>
      <c r="G159" s="42">
        <v>0</v>
      </c>
      <c r="H159" s="42">
        <v>0</v>
      </c>
      <c r="I159" s="42">
        <v>0</v>
      </c>
      <c r="J159" s="42">
        <v>0</v>
      </c>
      <c r="K159" s="42">
        <v>0</v>
      </c>
      <c r="L159" s="42">
        <v>0</v>
      </c>
      <c r="M159" s="42">
        <v>0</v>
      </c>
      <c r="N159" s="42">
        <v>0</v>
      </c>
      <c r="O159" s="42">
        <v>0</v>
      </c>
      <c r="P159" s="42">
        <v>0</v>
      </c>
      <c r="Q159" s="42">
        <v>0</v>
      </c>
      <c r="R159" s="42">
        <v>0</v>
      </c>
      <c r="S159" s="42">
        <v>0</v>
      </c>
      <c r="T159" s="42">
        <v>0</v>
      </c>
      <c r="U159" s="42">
        <v>0</v>
      </c>
      <c r="V159" s="42">
        <v>17</v>
      </c>
      <c r="W159" s="42">
        <v>17</v>
      </c>
      <c r="X159" s="42">
        <v>17</v>
      </c>
      <c r="Y159" s="42">
        <v>3</v>
      </c>
      <c r="Z159" s="42">
        <v>0</v>
      </c>
      <c r="AA159" s="42">
        <v>0</v>
      </c>
      <c r="AB159" s="9"/>
    </row>
    <row r="160" spans="1:28" x14ac:dyDescent="0.25">
      <c r="A160" s="13" t="s">
        <v>65</v>
      </c>
      <c r="B160" s="42">
        <v>0</v>
      </c>
      <c r="C160" s="42">
        <v>0</v>
      </c>
      <c r="D160" s="42">
        <v>0</v>
      </c>
      <c r="E160" s="42">
        <v>0</v>
      </c>
      <c r="F160" s="42">
        <v>0</v>
      </c>
      <c r="G160" s="42">
        <v>0</v>
      </c>
      <c r="H160" s="42">
        <v>0</v>
      </c>
      <c r="I160" s="42">
        <v>0</v>
      </c>
      <c r="J160" s="42">
        <v>0</v>
      </c>
      <c r="K160" s="42">
        <v>0</v>
      </c>
      <c r="L160" s="42">
        <v>0</v>
      </c>
      <c r="M160" s="42">
        <v>0</v>
      </c>
      <c r="N160" s="42">
        <v>0</v>
      </c>
      <c r="O160" s="42">
        <v>0</v>
      </c>
      <c r="P160" s="42">
        <v>0</v>
      </c>
      <c r="Q160" s="42">
        <v>0</v>
      </c>
      <c r="R160" s="42">
        <v>0</v>
      </c>
      <c r="S160" s="42">
        <v>0</v>
      </c>
      <c r="T160" s="42">
        <v>0</v>
      </c>
      <c r="U160" s="42">
        <v>0</v>
      </c>
      <c r="V160" s="42">
        <v>17</v>
      </c>
      <c r="W160" s="42">
        <v>17</v>
      </c>
      <c r="X160" s="42">
        <v>17</v>
      </c>
      <c r="Y160" s="42">
        <v>3</v>
      </c>
      <c r="Z160" s="42">
        <v>0</v>
      </c>
      <c r="AA160" s="42">
        <v>0</v>
      </c>
      <c r="AB160" s="9"/>
    </row>
    <row r="161" spans="1:28" x14ac:dyDescent="0.25">
      <c r="A161" s="13" t="s">
        <v>66</v>
      </c>
      <c r="B161" s="42">
        <v>0</v>
      </c>
      <c r="C161" s="42">
        <v>0</v>
      </c>
      <c r="D161" s="42">
        <v>0</v>
      </c>
      <c r="E161" s="42">
        <v>0</v>
      </c>
      <c r="F161" s="42">
        <v>0</v>
      </c>
      <c r="G161" s="42">
        <v>0</v>
      </c>
      <c r="H161" s="42">
        <v>0</v>
      </c>
      <c r="I161" s="42">
        <v>0</v>
      </c>
      <c r="J161" s="42">
        <v>0</v>
      </c>
      <c r="K161" s="42">
        <v>0</v>
      </c>
      <c r="L161" s="42">
        <v>0</v>
      </c>
      <c r="M161" s="42">
        <v>0</v>
      </c>
      <c r="N161" s="42">
        <v>0</v>
      </c>
      <c r="O161" s="42">
        <v>0</v>
      </c>
      <c r="P161" s="42">
        <v>0</v>
      </c>
      <c r="Q161" s="42">
        <v>0</v>
      </c>
      <c r="R161" s="42">
        <v>0</v>
      </c>
      <c r="S161" s="42">
        <v>0</v>
      </c>
      <c r="T161" s="42">
        <v>0</v>
      </c>
      <c r="U161" s="42">
        <v>0</v>
      </c>
      <c r="V161" s="42">
        <v>17</v>
      </c>
      <c r="W161" s="42">
        <v>17</v>
      </c>
      <c r="X161" s="42">
        <v>17</v>
      </c>
      <c r="Y161" s="42">
        <v>3</v>
      </c>
      <c r="Z161" s="42">
        <v>0</v>
      </c>
      <c r="AA161" s="42">
        <v>0</v>
      </c>
      <c r="AB161" s="9"/>
    </row>
    <row r="162" spans="1:28" x14ac:dyDescent="0.25">
      <c r="A162" s="13" t="s">
        <v>67</v>
      </c>
      <c r="B162" s="42">
        <v>0</v>
      </c>
      <c r="C162" s="42">
        <v>0</v>
      </c>
      <c r="D162" s="42">
        <v>0</v>
      </c>
      <c r="E162" s="42">
        <v>0</v>
      </c>
      <c r="F162" s="42">
        <v>0</v>
      </c>
      <c r="G162" s="42">
        <v>0</v>
      </c>
      <c r="H162" s="42">
        <v>0</v>
      </c>
      <c r="I162" s="42">
        <v>0</v>
      </c>
      <c r="J162" s="42">
        <v>0</v>
      </c>
      <c r="K162" s="42">
        <v>0</v>
      </c>
      <c r="L162" s="42">
        <v>0</v>
      </c>
      <c r="M162" s="42">
        <v>0</v>
      </c>
      <c r="N162" s="42">
        <v>0</v>
      </c>
      <c r="O162" s="42">
        <v>0</v>
      </c>
      <c r="P162" s="42">
        <v>0</v>
      </c>
      <c r="Q162" s="42">
        <v>0</v>
      </c>
      <c r="R162" s="42">
        <v>0</v>
      </c>
      <c r="S162" s="42">
        <v>0</v>
      </c>
      <c r="T162" s="42">
        <v>0</v>
      </c>
      <c r="U162" s="42">
        <v>0</v>
      </c>
      <c r="V162" s="42">
        <v>17</v>
      </c>
      <c r="W162" s="42">
        <v>17</v>
      </c>
      <c r="X162" s="42">
        <v>17</v>
      </c>
      <c r="Y162" s="42">
        <v>3</v>
      </c>
      <c r="Z162" s="42">
        <v>0</v>
      </c>
      <c r="AA162" s="42">
        <v>0</v>
      </c>
      <c r="AB162" s="9"/>
    </row>
    <row r="163" spans="1:28" x14ac:dyDescent="0.25">
      <c r="A163" s="13" t="s">
        <v>68</v>
      </c>
      <c r="B163" s="42">
        <v>0</v>
      </c>
      <c r="C163" s="42">
        <v>0</v>
      </c>
      <c r="D163" s="42">
        <v>0</v>
      </c>
      <c r="E163" s="42">
        <v>0</v>
      </c>
      <c r="F163" s="42">
        <v>0</v>
      </c>
      <c r="G163" s="42">
        <v>0</v>
      </c>
      <c r="H163" s="42">
        <v>0</v>
      </c>
      <c r="I163" s="42">
        <v>0</v>
      </c>
      <c r="J163" s="42">
        <v>0</v>
      </c>
      <c r="K163" s="42">
        <v>0</v>
      </c>
      <c r="L163" s="42">
        <v>0</v>
      </c>
      <c r="M163" s="42">
        <v>0</v>
      </c>
      <c r="N163" s="42">
        <v>0</v>
      </c>
      <c r="O163" s="42">
        <v>0</v>
      </c>
      <c r="P163" s="42">
        <v>0</v>
      </c>
      <c r="Q163" s="42">
        <v>0</v>
      </c>
      <c r="R163" s="42">
        <v>0</v>
      </c>
      <c r="S163" s="42">
        <v>0</v>
      </c>
      <c r="T163" s="42">
        <v>0</v>
      </c>
      <c r="U163" s="42">
        <v>0</v>
      </c>
      <c r="V163" s="42">
        <v>17</v>
      </c>
      <c r="W163" s="42">
        <v>17</v>
      </c>
      <c r="X163" s="42">
        <v>17</v>
      </c>
      <c r="Y163" s="42">
        <v>3</v>
      </c>
      <c r="Z163" s="42">
        <v>0</v>
      </c>
      <c r="AA163" s="42">
        <v>0</v>
      </c>
      <c r="AB163" s="9"/>
    </row>
    <row r="164" spans="1:28" x14ac:dyDescent="0.25">
      <c r="A164" s="13" t="s">
        <v>69</v>
      </c>
      <c r="B164" s="42">
        <v>0</v>
      </c>
      <c r="C164" s="42">
        <v>0</v>
      </c>
      <c r="D164" s="42">
        <v>0</v>
      </c>
      <c r="E164" s="42">
        <v>0</v>
      </c>
      <c r="F164" s="42">
        <v>0</v>
      </c>
      <c r="G164" s="42">
        <v>0</v>
      </c>
      <c r="H164" s="42">
        <v>0</v>
      </c>
      <c r="I164" s="42">
        <v>0</v>
      </c>
      <c r="J164" s="42">
        <v>0</v>
      </c>
      <c r="K164" s="42">
        <v>0</v>
      </c>
      <c r="L164" s="42">
        <v>0</v>
      </c>
      <c r="M164" s="42">
        <v>0</v>
      </c>
      <c r="N164" s="42">
        <v>0</v>
      </c>
      <c r="O164" s="42">
        <v>0</v>
      </c>
      <c r="P164" s="42">
        <v>0</v>
      </c>
      <c r="Q164" s="42">
        <v>0</v>
      </c>
      <c r="R164" s="42">
        <v>0</v>
      </c>
      <c r="S164" s="42">
        <v>0</v>
      </c>
      <c r="T164" s="42">
        <v>0</v>
      </c>
      <c r="U164" s="42">
        <v>0</v>
      </c>
      <c r="V164" s="42">
        <v>17</v>
      </c>
      <c r="W164" s="42">
        <v>17</v>
      </c>
      <c r="X164" s="42">
        <v>17</v>
      </c>
      <c r="Y164" s="42">
        <v>3</v>
      </c>
      <c r="Z164" s="42">
        <v>0</v>
      </c>
      <c r="AA164" s="42">
        <v>0</v>
      </c>
      <c r="AB164" s="9"/>
    </row>
    <row r="165" spans="1:28" x14ac:dyDescent="0.25">
      <c r="A165" s="13" t="s">
        <v>70</v>
      </c>
      <c r="B165" s="42">
        <v>0</v>
      </c>
      <c r="C165" s="42">
        <v>0</v>
      </c>
      <c r="D165" s="42">
        <v>0</v>
      </c>
      <c r="E165" s="42">
        <v>0</v>
      </c>
      <c r="F165" s="42">
        <v>0</v>
      </c>
      <c r="G165" s="42">
        <v>0</v>
      </c>
      <c r="H165" s="42">
        <v>0</v>
      </c>
      <c r="I165" s="42">
        <v>0</v>
      </c>
      <c r="J165" s="42">
        <v>0</v>
      </c>
      <c r="K165" s="42">
        <v>0</v>
      </c>
      <c r="L165" s="42">
        <v>0</v>
      </c>
      <c r="M165" s="42">
        <v>0</v>
      </c>
      <c r="N165" s="42">
        <v>0</v>
      </c>
      <c r="O165" s="42">
        <v>0</v>
      </c>
      <c r="P165" s="42">
        <v>0</v>
      </c>
      <c r="Q165" s="42">
        <v>0</v>
      </c>
      <c r="R165" s="42">
        <v>0</v>
      </c>
      <c r="S165" s="42">
        <v>0</v>
      </c>
      <c r="T165" s="42">
        <v>0</v>
      </c>
      <c r="U165" s="42">
        <v>0</v>
      </c>
      <c r="V165" s="42">
        <v>17</v>
      </c>
      <c r="W165" s="42">
        <v>17</v>
      </c>
      <c r="X165" s="42">
        <v>17</v>
      </c>
      <c r="Y165" s="42">
        <v>3</v>
      </c>
      <c r="Z165" s="42">
        <v>0</v>
      </c>
      <c r="AA165" s="42">
        <v>0</v>
      </c>
      <c r="AB165" s="9"/>
    </row>
    <row r="166" spans="1:28" x14ac:dyDescent="0.25">
      <c r="A166" s="13" t="s">
        <v>71</v>
      </c>
      <c r="B166" s="42">
        <v>0</v>
      </c>
      <c r="C166" s="42">
        <v>0</v>
      </c>
      <c r="D166" s="42">
        <v>0</v>
      </c>
      <c r="E166" s="42">
        <v>0</v>
      </c>
      <c r="F166" s="42">
        <v>0</v>
      </c>
      <c r="G166" s="42">
        <v>0</v>
      </c>
      <c r="H166" s="42">
        <v>0</v>
      </c>
      <c r="I166" s="42">
        <v>0</v>
      </c>
      <c r="J166" s="42">
        <v>0</v>
      </c>
      <c r="K166" s="42">
        <v>0</v>
      </c>
      <c r="L166" s="42">
        <v>0</v>
      </c>
      <c r="M166" s="42">
        <v>0</v>
      </c>
      <c r="N166" s="42">
        <v>0</v>
      </c>
      <c r="O166" s="42">
        <v>0</v>
      </c>
      <c r="P166" s="42">
        <v>0</v>
      </c>
      <c r="Q166" s="42">
        <v>0</v>
      </c>
      <c r="R166" s="42">
        <v>0</v>
      </c>
      <c r="S166" s="42">
        <v>0</v>
      </c>
      <c r="T166" s="42">
        <v>0</v>
      </c>
      <c r="U166" s="42">
        <v>0</v>
      </c>
      <c r="V166" s="42">
        <v>17</v>
      </c>
      <c r="W166" s="42">
        <v>17</v>
      </c>
      <c r="X166" s="42">
        <v>17</v>
      </c>
      <c r="Y166" s="42">
        <v>3</v>
      </c>
      <c r="Z166" s="42">
        <v>0</v>
      </c>
      <c r="AA166" s="42">
        <v>0</v>
      </c>
      <c r="AB166" s="9"/>
    </row>
    <row r="167" spans="1:28" x14ac:dyDescent="0.25">
      <c r="A167" s="13" t="s">
        <v>72</v>
      </c>
      <c r="B167" s="42">
        <v>0</v>
      </c>
      <c r="C167" s="42">
        <v>0</v>
      </c>
      <c r="D167" s="42">
        <v>0</v>
      </c>
      <c r="E167" s="42">
        <v>0</v>
      </c>
      <c r="F167" s="42">
        <v>0</v>
      </c>
      <c r="G167" s="42">
        <v>0</v>
      </c>
      <c r="H167" s="42">
        <v>0</v>
      </c>
      <c r="I167" s="42">
        <v>0</v>
      </c>
      <c r="J167" s="42">
        <v>0</v>
      </c>
      <c r="K167" s="42">
        <v>0</v>
      </c>
      <c r="L167" s="42">
        <v>0</v>
      </c>
      <c r="M167" s="42">
        <v>0</v>
      </c>
      <c r="N167" s="42">
        <v>0</v>
      </c>
      <c r="O167" s="42">
        <v>0</v>
      </c>
      <c r="P167" s="42">
        <v>0</v>
      </c>
      <c r="Q167" s="42">
        <v>0</v>
      </c>
      <c r="R167" s="42">
        <v>0</v>
      </c>
      <c r="S167" s="42">
        <v>0</v>
      </c>
      <c r="T167" s="42">
        <v>0</v>
      </c>
      <c r="U167" s="42">
        <v>0</v>
      </c>
      <c r="V167" s="42">
        <v>17</v>
      </c>
      <c r="W167" s="42">
        <v>17</v>
      </c>
      <c r="X167" s="42">
        <v>17</v>
      </c>
      <c r="Y167" s="42">
        <v>3</v>
      </c>
      <c r="Z167" s="42">
        <v>0</v>
      </c>
      <c r="AA167" s="42">
        <v>0</v>
      </c>
      <c r="AB167" s="9"/>
    </row>
    <row r="168" spans="1:28" x14ac:dyDescent="0.25">
      <c r="A168" s="13" t="s">
        <v>73</v>
      </c>
      <c r="B168" s="42">
        <v>0</v>
      </c>
      <c r="C168" s="42">
        <v>0</v>
      </c>
      <c r="D168" s="42">
        <v>0</v>
      </c>
      <c r="E168" s="42">
        <v>0</v>
      </c>
      <c r="F168" s="42">
        <v>0</v>
      </c>
      <c r="G168" s="42">
        <v>0</v>
      </c>
      <c r="H168" s="42">
        <v>0</v>
      </c>
      <c r="I168" s="42">
        <v>0</v>
      </c>
      <c r="J168" s="42">
        <v>0</v>
      </c>
      <c r="K168" s="42">
        <v>0</v>
      </c>
      <c r="L168" s="42">
        <v>0</v>
      </c>
      <c r="M168" s="42">
        <v>0</v>
      </c>
      <c r="N168" s="42">
        <v>0</v>
      </c>
      <c r="O168" s="42">
        <v>0</v>
      </c>
      <c r="P168" s="42">
        <v>0</v>
      </c>
      <c r="Q168" s="42">
        <v>0</v>
      </c>
      <c r="R168" s="42">
        <v>0</v>
      </c>
      <c r="S168" s="42">
        <v>0</v>
      </c>
      <c r="T168" s="42">
        <v>0</v>
      </c>
      <c r="U168" s="42">
        <v>0</v>
      </c>
      <c r="V168" s="42">
        <v>17</v>
      </c>
      <c r="W168" s="42">
        <v>17</v>
      </c>
      <c r="X168" s="42">
        <v>17</v>
      </c>
      <c r="Y168" s="42">
        <v>3</v>
      </c>
      <c r="Z168" s="42">
        <v>0</v>
      </c>
      <c r="AA168" s="42">
        <v>0</v>
      </c>
      <c r="AB168" s="9"/>
    </row>
    <row r="169" spans="1:28" x14ac:dyDescent="0.25">
      <c r="A169" s="13" t="s">
        <v>74</v>
      </c>
      <c r="B169" s="42">
        <v>0</v>
      </c>
      <c r="C169" s="42">
        <v>0</v>
      </c>
      <c r="D169" s="42">
        <v>0</v>
      </c>
      <c r="E169" s="42">
        <v>0</v>
      </c>
      <c r="F169" s="42">
        <v>0</v>
      </c>
      <c r="G169" s="42">
        <v>0</v>
      </c>
      <c r="H169" s="42">
        <v>0</v>
      </c>
      <c r="I169" s="42">
        <v>0</v>
      </c>
      <c r="J169" s="42">
        <v>0</v>
      </c>
      <c r="K169" s="42">
        <v>0</v>
      </c>
      <c r="L169" s="42">
        <v>0</v>
      </c>
      <c r="M169" s="42">
        <v>0</v>
      </c>
      <c r="N169" s="42">
        <v>0</v>
      </c>
      <c r="O169" s="42">
        <v>0</v>
      </c>
      <c r="P169" s="42">
        <v>0</v>
      </c>
      <c r="Q169" s="42">
        <v>0</v>
      </c>
      <c r="R169" s="42">
        <v>0</v>
      </c>
      <c r="S169" s="42">
        <v>0</v>
      </c>
      <c r="T169" s="42">
        <v>0</v>
      </c>
      <c r="U169" s="42">
        <v>0</v>
      </c>
      <c r="V169" s="42">
        <v>17</v>
      </c>
      <c r="W169" s="42">
        <v>17</v>
      </c>
      <c r="X169" s="42">
        <v>17</v>
      </c>
      <c r="Y169" s="42">
        <v>3</v>
      </c>
      <c r="Z169" s="42">
        <v>0</v>
      </c>
      <c r="AA169" s="42">
        <v>0</v>
      </c>
      <c r="AB169" s="9"/>
    </row>
    <row r="170" spans="1:28" x14ac:dyDescent="0.25">
      <c r="A170" s="13" t="s">
        <v>75</v>
      </c>
      <c r="B170" s="42">
        <v>0</v>
      </c>
      <c r="C170" s="42">
        <v>0</v>
      </c>
      <c r="D170" s="42">
        <v>0</v>
      </c>
      <c r="E170" s="42">
        <v>0</v>
      </c>
      <c r="F170" s="42">
        <v>0</v>
      </c>
      <c r="G170" s="42">
        <v>0</v>
      </c>
      <c r="H170" s="42">
        <v>0</v>
      </c>
      <c r="I170" s="42">
        <v>0</v>
      </c>
      <c r="J170" s="42">
        <v>0</v>
      </c>
      <c r="K170" s="42">
        <v>0</v>
      </c>
      <c r="L170" s="42">
        <v>0</v>
      </c>
      <c r="M170" s="42">
        <v>0</v>
      </c>
      <c r="N170" s="42">
        <v>0</v>
      </c>
      <c r="O170" s="42">
        <v>0</v>
      </c>
      <c r="P170" s="42">
        <v>0</v>
      </c>
      <c r="Q170" s="42">
        <v>0</v>
      </c>
      <c r="R170" s="42">
        <v>0</v>
      </c>
      <c r="S170" s="42">
        <v>0</v>
      </c>
      <c r="T170" s="42">
        <v>0</v>
      </c>
      <c r="U170" s="42">
        <v>0</v>
      </c>
      <c r="V170" s="42">
        <v>17</v>
      </c>
      <c r="W170" s="42">
        <v>17</v>
      </c>
      <c r="X170" s="42">
        <v>17</v>
      </c>
      <c r="Y170" s="42">
        <v>3</v>
      </c>
      <c r="Z170" s="42">
        <v>0</v>
      </c>
      <c r="AA170" s="42">
        <v>0</v>
      </c>
      <c r="AB170" s="9"/>
    </row>
    <row r="171" spans="1:28" ht="15" customHeight="1" x14ac:dyDescent="0.25">
      <c r="A171" s="13" t="s">
        <v>76</v>
      </c>
      <c r="B171" s="42">
        <v>0</v>
      </c>
      <c r="C171" s="42">
        <v>0</v>
      </c>
      <c r="D171" s="42">
        <v>0</v>
      </c>
      <c r="E171" s="42">
        <v>0</v>
      </c>
      <c r="F171" s="42">
        <v>0</v>
      </c>
      <c r="G171" s="42">
        <v>0</v>
      </c>
      <c r="H171" s="42">
        <v>0</v>
      </c>
      <c r="I171" s="42">
        <v>0</v>
      </c>
      <c r="J171" s="42">
        <v>0</v>
      </c>
      <c r="K171" s="42">
        <v>0</v>
      </c>
      <c r="L171" s="42">
        <v>0</v>
      </c>
      <c r="M171" s="42">
        <v>0</v>
      </c>
      <c r="N171" s="42">
        <v>0</v>
      </c>
      <c r="O171" s="42">
        <v>0</v>
      </c>
      <c r="P171" s="42">
        <v>0</v>
      </c>
      <c r="Q171" s="42">
        <v>0</v>
      </c>
      <c r="R171" s="42">
        <v>0</v>
      </c>
      <c r="S171" s="42">
        <v>0</v>
      </c>
      <c r="T171" s="42">
        <v>0</v>
      </c>
      <c r="U171" s="42">
        <v>0</v>
      </c>
      <c r="V171" s="42">
        <v>17</v>
      </c>
      <c r="W171" s="42">
        <v>17</v>
      </c>
      <c r="X171" s="42">
        <v>17</v>
      </c>
      <c r="Y171" s="42">
        <v>3</v>
      </c>
      <c r="Z171" s="42">
        <v>0</v>
      </c>
      <c r="AA171" s="42">
        <v>0</v>
      </c>
      <c r="AB171" s="9"/>
    </row>
    <row r="172" spans="1:28" x14ac:dyDescent="0.25">
      <c r="A172" s="13" t="s">
        <v>77</v>
      </c>
      <c r="B172" s="42">
        <v>0</v>
      </c>
      <c r="C172" s="42">
        <v>0</v>
      </c>
      <c r="D172" s="42">
        <v>0</v>
      </c>
      <c r="E172" s="42">
        <v>0</v>
      </c>
      <c r="F172" s="42">
        <v>0</v>
      </c>
      <c r="G172" s="42">
        <v>0</v>
      </c>
      <c r="H172" s="42">
        <v>0</v>
      </c>
      <c r="I172" s="42">
        <v>0</v>
      </c>
      <c r="J172" s="42">
        <v>0</v>
      </c>
      <c r="K172" s="42">
        <v>0</v>
      </c>
      <c r="L172" s="42">
        <v>0</v>
      </c>
      <c r="M172" s="42">
        <v>0</v>
      </c>
      <c r="N172" s="42">
        <v>0</v>
      </c>
      <c r="O172" s="42">
        <v>0</v>
      </c>
      <c r="P172" s="42">
        <v>0</v>
      </c>
      <c r="Q172" s="42">
        <v>0</v>
      </c>
      <c r="R172" s="42">
        <v>0</v>
      </c>
      <c r="S172" s="42">
        <v>0</v>
      </c>
      <c r="T172" s="42">
        <v>0</v>
      </c>
      <c r="U172" s="42">
        <v>0</v>
      </c>
      <c r="V172" s="42">
        <v>17</v>
      </c>
      <c r="W172" s="42">
        <v>17</v>
      </c>
      <c r="X172" s="42">
        <v>17</v>
      </c>
      <c r="Y172" s="42">
        <v>3</v>
      </c>
      <c r="Z172" s="42">
        <v>0</v>
      </c>
      <c r="AA172" s="42">
        <v>0</v>
      </c>
      <c r="AB172" s="9"/>
    </row>
    <row r="173" spans="1:28" x14ac:dyDescent="0.25">
      <c r="A173" s="13" t="s">
        <v>78</v>
      </c>
      <c r="B173" s="42">
        <v>0</v>
      </c>
      <c r="C173" s="42">
        <v>0</v>
      </c>
      <c r="D173" s="42">
        <v>0</v>
      </c>
      <c r="E173" s="42">
        <v>0</v>
      </c>
      <c r="F173" s="42">
        <v>0</v>
      </c>
      <c r="G173" s="42">
        <v>0</v>
      </c>
      <c r="H173" s="42">
        <v>0</v>
      </c>
      <c r="I173" s="42">
        <v>0</v>
      </c>
      <c r="J173" s="42">
        <v>0</v>
      </c>
      <c r="K173" s="42">
        <v>0</v>
      </c>
      <c r="L173" s="42">
        <v>0</v>
      </c>
      <c r="M173" s="42">
        <v>0</v>
      </c>
      <c r="N173" s="42">
        <v>0</v>
      </c>
      <c r="O173" s="42">
        <v>0</v>
      </c>
      <c r="P173" s="42">
        <v>0</v>
      </c>
      <c r="Q173" s="42">
        <v>0</v>
      </c>
      <c r="R173" s="42">
        <v>0</v>
      </c>
      <c r="S173" s="42">
        <v>0</v>
      </c>
      <c r="T173" s="42">
        <v>0</v>
      </c>
      <c r="U173" s="42">
        <v>0</v>
      </c>
      <c r="V173" s="42">
        <v>17</v>
      </c>
      <c r="W173" s="42">
        <v>17</v>
      </c>
      <c r="X173" s="42">
        <v>17</v>
      </c>
      <c r="Y173" s="42">
        <v>3</v>
      </c>
      <c r="Z173" s="42">
        <v>0</v>
      </c>
      <c r="AA173" s="42">
        <v>0</v>
      </c>
      <c r="AB173" s="9"/>
    </row>
    <row r="174" spans="1:28" x14ac:dyDescent="0.25">
      <c r="A174" s="13" t="s">
        <v>79</v>
      </c>
      <c r="B174" s="42">
        <v>0</v>
      </c>
      <c r="C174" s="42">
        <v>0</v>
      </c>
      <c r="D174" s="42">
        <v>0</v>
      </c>
      <c r="E174" s="42">
        <v>0</v>
      </c>
      <c r="F174" s="42">
        <v>0</v>
      </c>
      <c r="G174" s="42">
        <v>0</v>
      </c>
      <c r="H174" s="42">
        <v>0</v>
      </c>
      <c r="I174" s="42">
        <v>0</v>
      </c>
      <c r="J174" s="42">
        <v>0</v>
      </c>
      <c r="K174" s="42">
        <v>0</v>
      </c>
      <c r="L174" s="42">
        <v>0</v>
      </c>
      <c r="M174" s="42">
        <v>0</v>
      </c>
      <c r="N174" s="42">
        <v>0</v>
      </c>
      <c r="O174" s="42">
        <v>0</v>
      </c>
      <c r="P174" s="42">
        <v>0</v>
      </c>
      <c r="Q174" s="42">
        <v>0</v>
      </c>
      <c r="R174" s="42">
        <v>0</v>
      </c>
      <c r="S174" s="42">
        <v>0</v>
      </c>
      <c r="T174" s="42">
        <v>0</v>
      </c>
      <c r="U174" s="42">
        <v>0</v>
      </c>
      <c r="V174" s="42">
        <v>17</v>
      </c>
      <c r="W174" s="42">
        <v>17</v>
      </c>
      <c r="X174" s="42">
        <v>17</v>
      </c>
      <c r="Y174" s="42">
        <v>3</v>
      </c>
      <c r="Z174" s="42">
        <v>0</v>
      </c>
      <c r="AA174" s="42">
        <v>0</v>
      </c>
      <c r="AB174" s="9"/>
    </row>
    <row r="175" spans="1:28" x14ac:dyDescent="0.25">
      <c r="A175" s="9" t="s">
        <v>104</v>
      </c>
      <c r="B175" s="42">
        <v>0</v>
      </c>
      <c r="C175" s="42">
        <v>0</v>
      </c>
      <c r="D175" s="42">
        <v>0</v>
      </c>
      <c r="E175" s="42">
        <v>0</v>
      </c>
      <c r="F175" s="42">
        <v>0</v>
      </c>
      <c r="G175" s="42">
        <v>0</v>
      </c>
      <c r="H175" s="42">
        <v>0</v>
      </c>
      <c r="I175" s="42">
        <v>0</v>
      </c>
      <c r="J175" s="42">
        <v>0</v>
      </c>
      <c r="K175" s="42">
        <v>0</v>
      </c>
      <c r="L175" s="42">
        <v>0</v>
      </c>
      <c r="M175" s="42">
        <v>0</v>
      </c>
      <c r="N175" s="42">
        <v>0</v>
      </c>
      <c r="O175" s="42">
        <v>0</v>
      </c>
      <c r="P175" s="42">
        <v>0</v>
      </c>
      <c r="Q175" s="42">
        <v>0</v>
      </c>
      <c r="R175" s="42">
        <v>0</v>
      </c>
      <c r="S175" s="42">
        <v>0</v>
      </c>
      <c r="T175" s="42">
        <v>0</v>
      </c>
      <c r="U175" s="42">
        <v>0</v>
      </c>
      <c r="V175" s="42">
        <v>0</v>
      </c>
      <c r="W175" s="42">
        <v>0</v>
      </c>
      <c r="X175" s="42">
        <v>0</v>
      </c>
      <c r="Y175" s="42">
        <v>0</v>
      </c>
      <c r="Z175" s="42">
        <v>0</v>
      </c>
      <c r="AA175" s="42">
        <v>0</v>
      </c>
    </row>
    <row r="176" spans="1:28" x14ac:dyDescent="0.25">
      <c r="A176" s="9" t="s">
        <v>105</v>
      </c>
      <c r="B176" s="42">
        <v>0</v>
      </c>
      <c r="C176" s="42">
        <v>0</v>
      </c>
      <c r="D176" s="42">
        <v>0</v>
      </c>
      <c r="E176" s="42">
        <v>0</v>
      </c>
      <c r="F176" s="42">
        <v>0</v>
      </c>
      <c r="G176" s="42">
        <v>0</v>
      </c>
      <c r="H176" s="42">
        <v>0</v>
      </c>
      <c r="I176" s="42">
        <v>0</v>
      </c>
      <c r="J176" s="42">
        <v>0</v>
      </c>
      <c r="K176" s="42">
        <v>0</v>
      </c>
      <c r="L176" s="42">
        <v>0</v>
      </c>
      <c r="M176" s="42">
        <v>0</v>
      </c>
      <c r="N176" s="42">
        <v>0</v>
      </c>
      <c r="O176" s="42">
        <v>0</v>
      </c>
      <c r="P176" s="42">
        <v>0</v>
      </c>
      <c r="Q176" s="42">
        <v>0</v>
      </c>
      <c r="R176" s="42">
        <v>0</v>
      </c>
      <c r="S176" s="42">
        <v>0</v>
      </c>
      <c r="T176" s="42">
        <v>0</v>
      </c>
      <c r="U176" s="42">
        <v>0</v>
      </c>
      <c r="V176" s="42">
        <v>0</v>
      </c>
      <c r="W176" s="42">
        <v>0</v>
      </c>
      <c r="X176" s="42">
        <v>0</v>
      </c>
      <c r="Y176" s="42">
        <v>0</v>
      </c>
      <c r="Z176" s="42">
        <v>0</v>
      </c>
      <c r="AA176" s="42">
        <v>0</v>
      </c>
    </row>
    <row r="177" spans="1:27" x14ac:dyDescent="0.25">
      <c r="A177" s="9" t="s">
        <v>106</v>
      </c>
      <c r="B177" s="42">
        <v>0</v>
      </c>
      <c r="C177" s="42">
        <v>0</v>
      </c>
      <c r="D177" s="42">
        <v>0</v>
      </c>
      <c r="E177" s="42">
        <v>0</v>
      </c>
      <c r="F177" s="42">
        <v>0</v>
      </c>
      <c r="G177" s="42">
        <v>0</v>
      </c>
      <c r="H177" s="42">
        <v>0</v>
      </c>
      <c r="I177" s="42">
        <v>0</v>
      </c>
      <c r="J177" s="42">
        <v>0</v>
      </c>
      <c r="K177" s="42">
        <v>0</v>
      </c>
      <c r="L177" s="42">
        <v>0</v>
      </c>
      <c r="M177" s="42">
        <v>0</v>
      </c>
      <c r="N177" s="42">
        <v>0</v>
      </c>
      <c r="O177" s="42">
        <v>0</v>
      </c>
      <c r="P177" s="42">
        <v>0</v>
      </c>
      <c r="Q177" s="42">
        <v>0</v>
      </c>
      <c r="R177" s="42">
        <v>0</v>
      </c>
      <c r="S177" s="42">
        <v>0</v>
      </c>
      <c r="T177" s="42">
        <v>0</v>
      </c>
      <c r="U177" s="42">
        <v>0</v>
      </c>
      <c r="V177" s="42">
        <v>0</v>
      </c>
      <c r="W177" s="42">
        <v>0</v>
      </c>
      <c r="X177" s="42">
        <v>0</v>
      </c>
      <c r="Y177" s="42">
        <v>0</v>
      </c>
      <c r="Z177" s="42">
        <v>0</v>
      </c>
      <c r="AA177" s="42">
        <v>0</v>
      </c>
    </row>
    <row r="178" spans="1:27" x14ac:dyDescent="0.25">
      <c r="A178" s="9" t="s">
        <v>107</v>
      </c>
      <c r="B178" s="42">
        <v>0</v>
      </c>
      <c r="C178" s="42">
        <v>0</v>
      </c>
      <c r="D178" s="42">
        <v>0</v>
      </c>
      <c r="E178" s="42">
        <v>0</v>
      </c>
      <c r="F178" s="42">
        <v>0</v>
      </c>
      <c r="G178" s="42">
        <v>0</v>
      </c>
      <c r="H178" s="42">
        <v>0</v>
      </c>
      <c r="I178" s="42">
        <v>0</v>
      </c>
      <c r="J178" s="42">
        <v>0</v>
      </c>
      <c r="K178" s="42">
        <v>0</v>
      </c>
      <c r="L178" s="42">
        <v>0</v>
      </c>
      <c r="M178" s="42">
        <v>0</v>
      </c>
      <c r="N178" s="42">
        <v>0</v>
      </c>
      <c r="O178" s="42">
        <v>0</v>
      </c>
      <c r="P178" s="42">
        <v>0</v>
      </c>
      <c r="Q178" s="42">
        <v>0</v>
      </c>
      <c r="R178" s="42">
        <v>0</v>
      </c>
      <c r="S178" s="42">
        <v>0</v>
      </c>
      <c r="T178" s="42">
        <v>0</v>
      </c>
      <c r="U178" s="42">
        <v>0</v>
      </c>
      <c r="V178" s="42">
        <v>0</v>
      </c>
      <c r="W178" s="42">
        <v>0</v>
      </c>
      <c r="X178" s="42">
        <v>0</v>
      </c>
      <c r="Y178" s="42">
        <v>0</v>
      </c>
      <c r="Z178" s="42">
        <v>0</v>
      </c>
      <c r="AA178" s="42">
        <v>0</v>
      </c>
    </row>
    <row r="179" spans="1:27" x14ac:dyDescent="0.25">
      <c r="A179" s="9" t="s">
        <v>108</v>
      </c>
      <c r="B179" s="42">
        <v>0</v>
      </c>
      <c r="C179" s="42">
        <v>0</v>
      </c>
      <c r="D179" s="42">
        <v>0</v>
      </c>
      <c r="E179" s="42">
        <v>0</v>
      </c>
      <c r="F179" s="42">
        <v>0</v>
      </c>
      <c r="G179" s="42">
        <v>0</v>
      </c>
      <c r="H179" s="42">
        <v>0</v>
      </c>
      <c r="I179" s="42">
        <v>0</v>
      </c>
      <c r="J179" s="42">
        <v>0</v>
      </c>
      <c r="K179" s="42">
        <v>0</v>
      </c>
      <c r="L179" s="42">
        <v>0</v>
      </c>
      <c r="M179" s="42">
        <v>0</v>
      </c>
      <c r="N179" s="42">
        <v>0</v>
      </c>
      <c r="O179" s="42">
        <v>0</v>
      </c>
      <c r="P179" s="42">
        <v>0</v>
      </c>
      <c r="Q179" s="42">
        <v>0</v>
      </c>
      <c r="R179" s="42">
        <v>0</v>
      </c>
      <c r="S179" s="42">
        <v>0</v>
      </c>
      <c r="T179" s="42">
        <v>0</v>
      </c>
      <c r="U179" s="42">
        <v>0</v>
      </c>
      <c r="V179" s="42">
        <v>0</v>
      </c>
      <c r="W179" s="42">
        <v>0</v>
      </c>
      <c r="X179" s="42">
        <v>0</v>
      </c>
      <c r="Y179" s="42">
        <v>0</v>
      </c>
      <c r="Z179" s="42">
        <v>0</v>
      </c>
      <c r="AA179" s="42">
        <v>0</v>
      </c>
    </row>
    <row r="180" spans="1:27" x14ac:dyDescent="0.25">
      <c r="A180" s="9"/>
    </row>
    <row r="181" spans="1:27" x14ac:dyDescent="0.25">
      <c r="A181" s="9"/>
    </row>
    <row r="182" spans="1:27" x14ac:dyDescent="0.25">
      <c r="A182" s="39" t="s">
        <v>146</v>
      </c>
      <c r="B182" s="9" t="s">
        <v>126</v>
      </c>
      <c r="C182" s="9" t="s">
        <v>127</v>
      </c>
    </row>
    <row r="183" spans="1:27" x14ac:dyDescent="0.25">
      <c r="A183" s="9" t="s">
        <v>147</v>
      </c>
      <c r="B183" s="67">
        <v>0</v>
      </c>
      <c r="C183" s="67">
        <v>0</v>
      </c>
    </row>
    <row r="184" spans="1:27" x14ac:dyDescent="0.25">
      <c r="A184" s="9" t="s">
        <v>148</v>
      </c>
      <c r="B184" s="67">
        <v>2</v>
      </c>
      <c r="C184" s="67">
        <v>1</v>
      </c>
    </row>
    <row r="185" spans="1:27" ht="15" customHeight="1" x14ac:dyDescent="0.25">
      <c r="A185" s="9" t="s">
        <v>149</v>
      </c>
      <c r="B185" s="67">
        <v>21</v>
      </c>
      <c r="C185" s="67">
        <v>19</v>
      </c>
    </row>
    <row r="186" spans="1:27" x14ac:dyDescent="0.25">
      <c r="A186" s="9" t="s">
        <v>150</v>
      </c>
      <c r="B186" s="67">
        <v>58</v>
      </c>
      <c r="C186" s="67">
        <f>33+12</f>
        <v>45</v>
      </c>
      <c r="F186" s="13"/>
      <c r="G186" s="13"/>
      <c r="H186" s="13"/>
      <c r="I186" s="13"/>
      <c r="J186" s="13"/>
      <c r="K186" s="13"/>
      <c r="L186" s="13"/>
    </row>
    <row r="187" spans="1:27" x14ac:dyDescent="0.25">
      <c r="A187" s="9" t="s">
        <v>151</v>
      </c>
      <c r="B187" s="67">
        <v>10</v>
      </c>
      <c r="C187" s="67">
        <v>10</v>
      </c>
    </row>
    <row r="188" spans="1:27" x14ac:dyDescent="0.25">
      <c r="A188" s="9" t="s">
        <v>152</v>
      </c>
      <c r="B188" s="67">
        <v>1</v>
      </c>
      <c r="C188" s="67">
        <v>9</v>
      </c>
    </row>
    <row r="189" spans="1:27" x14ac:dyDescent="0.25">
      <c r="A189" s="9" t="s">
        <v>153</v>
      </c>
      <c r="B189" s="67">
        <v>1</v>
      </c>
      <c r="C189" s="67">
        <v>8</v>
      </c>
    </row>
    <row r="190" spans="1:27" x14ac:dyDescent="0.25">
      <c r="A190" s="9" t="s">
        <v>154</v>
      </c>
      <c r="B190" s="67">
        <v>3</v>
      </c>
      <c r="C190" s="67">
        <v>6</v>
      </c>
    </row>
    <row r="191" spans="1:27" x14ac:dyDescent="0.25">
      <c r="A191" s="9" t="s">
        <v>155</v>
      </c>
      <c r="B191" s="67">
        <v>3</v>
      </c>
      <c r="C191" s="67">
        <v>2</v>
      </c>
      <c r="D191" s="9"/>
      <c r="E191" s="13"/>
    </row>
    <row r="192" spans="1:27" x14ac:dyDescent="0.25">
      <c r="A192" s="9" t="s">
        <v>156</v>
      </c>
      <c r="B192" s="67">
        <v>1</v>
      </c>
      <c r="C192" s="67">
        <v>0</v>
      </c>
    </row>
    <row r="193" spans="1:5" x14ac:dyDescent="0.25">
      <c r="A193" s="9" t="s">
        <v>157</v>
      </c>
      <c r="B193" s="67">
        <v>0</v>
      </c>
      <c r="C193" s="67">
        <v>0</v>
      </c>
    </row>
    <row r="194" spans="1:5" x14ac:dyDescent="0.25">
      <c r="A194" s="9" t="s">
        <v>158</v>
      </c>
      <c r="B194" s="67">
        <v>0</v>
      </c>
      <c r="C194" s="67">
        <v>0</v>
      </c>
    </row>
    <row r="195" spans="1:5" x14ac:dyDescent="0.25">
      <c r="A195" s="9"/>
    </row>
    <row r="196" spans="1:5" x14ac:dyDescent="0.25">
      <c r="A196" s="9"/>
      <c r="B196" s="9"/>
    </row>
    <row r="197" spans="1:5" x14ac:dyDescent="0.25">
      <c r="A197" s="9"/>
      <c r="B197" s="9"/>
    </row>
    <row r="198" spans="1:5" x14ac:dyDescent="0.25">
      <c r="A198" s="9"/>
    </row>
    <row r="199" spans="1:5" ht="15" customHeight="1" x14ac:dyDescent="0.25">
      <c r="A199" s="9"/>
    </row>
    <row r="200" spans="1:5" x14ac:dyDescent="0.25">
      <c r="A200" s="9"/>
      <c r="B200" s="9"/>
    </row>
    <row r="201" spans="1:5" x14ac:dyDescent="0.25">
      <c r="A201" s="9"/>
      <c r="B201" s="9"/>
    </row>
    <row r="202" spans="1:5" x14ac:dyDescent="0.25">
      <c r="A202" s="9"/>
      <c r="B202" s="9"/>
    </row>
    <row r="203" spans="1:5" x14ac:dyDescent="0.25">
      <c r="A203" s="9"/>
      <c r="B203" s="9"/>
    </row>
    <row r="204" spans="1:5" x14ac:dyDescent="0.25">
      <c r="A204" s="9"/>
      <c r="B204" s="9"/>
    </row>
    <row r="205" spans="1:5" x14ac:dyDescent="0.25">
      <c r="A205" s="8"/>
      <c r="D205" s="9"/>
      <c r="E205" s="13"/>
    </row>
    <row r="206" spans="1:5" x14ac:dyDescent="0.25">
      <c r="A206" s="9"/>
      <c r="B206" s="9"/>
      <c r="C206" s="1"/>
    </row>
    <row r="207" spans="1:5" x14ac:dyDescent="0.25">
      <c r="A207" s="9"/>
      <c r="B207" s="9"/>
    </row>
    <row r="208" spans="1:5" x14ac:dyDescent="0.25">
      <c r="A208" s="9"/>
    </row>
    <row r="209" spans="1:2" x14ac:dyDescent="0.25">
      <c r="A209" s="9"/>
    </row>
    <row r="210" spans="1:2" x14ac:dyDescent="0.25">
      <c r="A210" s="9"/>
      <c r="B210" s="9"/>
    </row>
    <row r="211" spans="1:2" x14ac:dyDescent="0.25">
      <c r="A211" s="9"/>
      <c r="B211" s="9"/>
    </row>
    <row r="212" spans="1:2" x14ac:dyDescent="0.25">
      <c r="A212" s="9"/>
    </row>
    <row r="213" spans="1:2" ht="15" customHeight="1" x14ac:dyDescent="0.25">
      <c r="A213" s="9"/>
    </row>
    <row r="214" spans="1:2" x14ac:dyDescent="0.25">
      <c r="A214" s="9"/>
      <c r="B214" s="9"/>
    </row>
    <row r="215" spans="1:2" x14ac:dyDescent="0.25">
      <c r="A215" s="9"/>
      <c r="B215" s="9"/>
    </row>
    <row r="216" spans="1:2" x14ac:dyDescent="0.25">
      <c r="A216" s="9"/>
      <c r="B216" s="9"/>
    </row>
    <row r="217" spans="1:2" x14ac:dyDescent="0.25">
      <c r="A217" s="9"/>
      <c r="B217" s="9"/>
    </row>
    <row r="218" spans="1:2" x14ac:dyDescent="0.25">
      <c r="A218" s="9"/>
      <c r="B218" s="9"/>
    </row>
    <row r="219" spans="1:2" x14ac:dyDescent="0.25">
      <c r="A219" s="8"/>
    </row>
    <row r="220" spans="1:2" x14ac:dyDescent="0.25">
      <c r="A220" s="9"/>
      <c r="B220" s="9"/>
    </row>
    <row r="221" spans="1:2" x14ac:dyDescent="0.25">
      <c r="A221" s="9"/>
      <c r="B221" s="9"/>
    </row>
    <row r="222" spans="1:2" x14ac:dyDescent="0.25">
      <c r="A222" s="9"/>
      <c r="B222" s="9"/>
    </row>
    <row r="223" spans="1:2" x14ac:dyDescent="0.25">
      <c r="A223" s="9"/>
      <c r="B223" s="9"/>
    </row>
    <row r="224" spans="1:2" x14ac:dyDescent="0.25">
      <c r="A224" s="9"/>
      <c r="B224" s="9"/>
    </row>
    <row r="225" spans="1:2" x14ac:dyDescent="0.25">
      <c r="A225" s="9"/>
      <c r="B225" s="9"/>
    </row>
    <row r="226" spans="1:2" x14ac:dyDescent="0.25">
      <c r="A226" s="9"/>
      <c r="B226" s="9"/>
    </row>
    <row r="227" spans="1:2" ht="15" customHeight="1" x14ac:dyDescent="0.25">
      <c r="A227" s="9"/>
      <c r="B227" s="9"/>
    </row>
    <row r="228" spans="1:2" x14ac:dyDescent="0.25">
      <c r="A228" s="9"/>
      <c r="B228" s="9"/>
    </row>
    <row r="229" spans="1:2" x14ac:dyDescent="0.25">
      <c r="A229" s="9"/>
      <c r="B229" s="9"/>
    </row>
    <row r="230" spans="1:2" x14ac:dyDescent="0.25">
      <c r="A230" s="9"/>
      <c r="B230" s="9"/>
    </row>
    <row r="231" spans="1:2" x14ac:dyDescent="0.25">
      <c r="A231" s="9"/>
      <c r="B231" s="9"/>
    </row>
    <row r="232" spans="1:2" x14ac:dyDescent="0.25">
      <c r="A232" s="9"/>
      <c r="B232" s="9"/>
    </row>
    <row r="233" spans="1:2" x14ac:dyDescent="0.25">
      <c r="A233" s="8"/>
    </row>
    <row r="234" spans="1:2" x14ac:dyDescent="0.25">
      <c r="A234" s="9"/>
    </row>
    <row r="235" spans="1:2" x14ac:dyDescent="0.25">
      <c r="A235" s="9"/>
    </row>
    <row r="236" spans="1:2" x14ac:dyDescent="0.25">
      <c r="A236" s="9"/>
      <c r="B236" s="9"/>
    </row>
    <row r="237" spans="1:2" x14ac:dyDescent="0.25">
      <c r="A237" s="9"/>
      <c r="B237" s="9"/>
    </row>
    <row r="238" spans="1:2" x14ac:dyDescent="0.25">
      <c r="A238" s="9"/>
      <c r="B238" s="9"/>
    </row>
    <row r="239" spans="1:2" x14ac:dyDescent="0.25">
      <c r="A239" s="9"/>
      <c r="B239" s="9"/>
    </row>
    <row r="240" spans="1:2" x14ac:dyDescent="0.25">
      <c r="A240" s="9"/>
      <c r="B240" s="9"/>
    </row>
    <row r="241" spans="1:2" ht="15" customHeight="1" x14ac:dyDescent="0.25">
      <c r="A241" s="9"/>
      <c r="B241" s="9"/>
    </row>
    <row r="242" spans="1:2" x14ac:dyDescent="0.25">
      <c r="A242" s="9"/>
      <c r="B242" s="9"/>
    </row>
    <row r="243" spans="1:2" x14ac:dyDescent="0.25">
      <c r="A243" s="9"/>
      <c r="B243" s="9"/>
    </row>
    <row r="244" spans="1:2" x14ac:dyDescent="0.25">
      <c r="A244" s="9"/>
      <c r="B244" s="9"/>
    </row>
    <row r="245" spans="1:2" x14ac:dyDescent="0.25">
      <c r="A245" s="9"/>
      <c r="B245" s="9"/>
    </row>
    <row r="246" spans="1:2" x14ac:dyDescent="0.25">
      <c r="A246" s="9"/>
      <c r="B246" s="9"/>
    </row>
    <row r="247" spans="1:2" x14ac:dyDescent="0.25">
      <c r="A247" s="8"/>
    </row>
    <row r="248" spans="1:2" x14ac:dyDescent="0.25">
      <c r="A248" s="9"/>
      <c r="B248" s="9"/>
    </row>
    <row r="249" spans="1:2" x14ac:dyDescent="0.25">
      <c r="A249" s="9"/>
      <c r="B249" s="9"/>
    </row>
    <row r="250" spans="1:2" x14ac:dyDescent="0.25">
      <c r="A250" s="9"/>
    </row>
    <row r="251" spans="1:2" x14ac:dyDescent="0.25">
      <c r="A251" s="9"/>
    </row>
    <row r="252" spans="1:2" x14ac:dyDescent="0.25">
      <c r="A252" s="9"/>
      <c r="B252" s="9"/>
    </row>
    <row r="253" spans="1:2" x14ac:dyDescent="0.25">
      <c r="A253" s="9"/>
      <c r="B253" s="9"/>
    </row>
    <row r="254" spans="1:2" x14ac:dyDescent="0.25">
      <c r="A254" s="9"/>
    </row>
    <row r="255" spans="1:2" ht="15" customHeight="1" x14ac:dyDescent="0.25">
      <c r="A255" s="9"/>
    </row>
    <row r="256" spans="1:2" x14ac:dyDescent="0.25">
      <c r="A256" s="9"/>
      <c r="B256" s="9"/>
    </row>
    <row r="257" spans="1:2" x14ac:dyDescent="0.25">
      <c r="A257" s="9"/>
      <c r="B257" s="9"/>
    </row>
    <row r="258" spans="1:2" x14ac:dyDescent="0.25">
      <c r="A258" s="9"/>
      <c r="B258" s="9"/>
    </row>
    <row r="259" spans="1:2" x14ac:dyDescent="0.25">
      <c r="A259" s="9"/>
      <c r="B259" s="9"/>
    </row>
    <row r="260" spans="1:2" x14ac:dyDescent="0.25">
      <c r="A260" s="9"/>
      <c r="B260" s="9"/>
    </row>
    <row r="261" spans="1:2" x14ac:dyDescent="0.25">
      <c r="A261" s="8"/>
    </row>
    <row r="262" spans="1:2" x14ac:dyDescent="0.25">
      <c r="A262" s="9"/>
      <c r="B262" s="9"/>
    </row>
    <row r="263" spans="1:2" x14ac:dyDescent="0.25">
      <c r="A263" s="9"/>
      <c r="B263" s="9"/>
    </row>
    <row r="264" spans="1:2" x14ac:dyDescent="0.25">
      <c r="A264" s="9"/>
    </row>
    <row r="265" spans="1:2" x14ac:dyDescent="0.25">
      <c r="A265" s="9"/>
    </row>
    <row r="266" spans="1:2" x14ac:dyDescent="0.25">
      <c r="A266" s="9"/>
      <c r="B266" s="9"/>
    </row>
    <row r="267" spans="1:2" x14ac:dyDescent="0.25">
      <c r="A267" s="9"/>
      <c r="B267" s="9"/>
    </row>
    <row r="268" spans="1:2" x14ac:dyDescent="0.25">
      <c r="A268" s="9"/>
    </row>
    <row r="269" spans="1:2" ht="15" customHeight="1" x14ac:dyDescent="0.25">
      <c r="A269" s="9"/>
    </row>
    <row r="270" spans="1:2" x14ac:dyDescent="0.25">
      <c r="A270" s="9"/>
      <c r="B270" s="9"/>
    </row>
    <row r="271" spans="1:2" x14ac:dyDescent="0.25">
      <c r="A271" s="9"/>
      <c r="B271" s="9"/>
    </row>
    <row r="272" spans="1:2" x14ac:dyDescent="0.25">
      <c r="A272" s="9"/>
      <c r="B272" s="9"/>
    </row>
    <row r="273" spans="1:2" x14ac:dyDescent="0.25">
      <c r="A273" s="9"/>
      <c r="B273" s="9"/>
    </row>
    <row r="274" spans="1:2" x14ac:dyDescent="0.25">
      <c r="A274" s="9"/>
      <c r="B274" s="9"/>
    </row>
    <row r="275" spans="1:2" x14ac:dyDescent="0.25">
      <c r="A275" s="8"/>
    </row>
    <row r="276" spans="1:2" x14ac:dyDescent="0.25">
      <c r="A276" s="9"/>
      <c r="B276" s="9"/>
    </row>
    <row r="277" spans="1:2" x14ac:dyDescent="0.25">
      <c r="A277" s="9"/>
      <c r="B277" s="9"/>
    </row>
    <row r="278" spans="1:2" x14ac:dyDescent="0.25">
      <c r="A278" s="9"/>
    </row>
    <row r="279" spans="1:2" x14ac:dyDescent="0.25">
      <c r="A279" s="9"/>
    </row>
    <row r="280" spans="1:2" x14ac:dyDescent="0.25">
      <c r="A280" s="9"/>
    </row>
    <row r="281" spans="1:2" x14ac:dyDescent="0.25">
      <c r="A281" s="9"/>
    </row>
    <row r="282" spans="1:2" x14ac:dyDescent="0.25">
      <c r="A282" s="9"/>
    </row>
    <row r="283" spans="1:2" x14ac:dyDescent="0.25">
      <c r="A283" s="9"/>
    </row>
    <row r="284" spans="1:2" x14ac:dyDescent="0.25">
      <c r="A284" s="9"/>
    </row>
    <row r="285" spans="1:2" x14ac:dyDescent="0.25">
      <c r="A285" s="9"/>
    </row>
    <row r="286" spans="1:2" x14ac:dyDescent="0.25">
      <c r="A286" s="9"/>
    </row>
    <row r="287" spans="1:2" x14ac:dyDescent="0.25">
      <c r="A287" s="9"/>
    </row>
    <row r="288" spans="1:2" x14ac:dyDescent="0.25">
      <c r="A288" s="9"/>
    </row>
    <row r="289" spans="1:2" x14ac:dyDescent="0.25">
      <c r="A289" s="8"/>
    </row>
    <row r="290" spans="1:2" x14ac:dyDescent="0.25">
      <c r="A290" s="9"/>
      <c r="B290" s="9"/>
    </row>
    <row r="291" spans="1:2" x14ac:dyDescent="0.25">
      <c r="A291" s="9"/>
      <c r="B291" s="9"/>
    </row>
    <row r="292" spans="1:2" x14ac:dyDescent="0.25">
      <c r="A292" s="9"/>
    </row>
    <row r="293" spans="1:2" x14ac:dyDescent="0.25">
      <c r="A293" s="9"/>
    </row>
    <row r="294" spans="1:2" x14ac:dyDescent="0.25">
      <c r="A294" s="9"/>
      <c r="B294" s="9"/>
    </row>
    <row r="295" spans="1:2" x14ac:dyDescent="0.25">
      <c r="A295" s="9"/>
      <c r="B295" s="9"/>
    </row>
    <row r="296" spans="1:2" x14ac:dyDescent="0.25">
      <c r="A296" s="9"/>
    </row>
    <row r="297" spans="1:2" x14ac:dyDescent="0.25">
      <c r="A297" s="9"/>
    </row>
    <row r="298" spans="1:2" x14ac:dyDescent="0.25">
      <c r="A298" s="9"/>
      <c r="B298" s="9"/>
    </row>
    <row r="299" spans="1:2" x14ac:dyDescent="0.25">
      <c r="A299" s="9"/>
      <c r="B299" s="9"/>
    </row>
    <row r="300" spans="1:2" x14ac:dyDescent="0.25">
      <c r="A300" s="9"/>
      <c r="B300" s="9"/>
    </row>
    <row r="301" spans="1:2" x14ac:dyDescent="0.25">
      <c r="A301" s="9"/>
      <c r="B301" s="9"/>
    </row>
    <row r="302" spans="1:2" x14ac:dyDescent="0.25">
      <c r="A302" s="9"/>
      <c r="B302" s="9"/>
    </row>
  </sheetData>
  <mergeCells count="1">
    <mergeCell ref="AG109:AH109"/>
  </mergeCells>
  <dataValidations disablePrompts="1" count="20">
    <dataValidation type="whole" allowBlank="1" showInputMessage="1" showErrorMessage="1" promptTitle="grazing time pr day (h)" prompt="During periods of grazing how many hours a day are they outside" sqref="X112" xr:uid="{00000000-0002-0000-0300-000000000000}">
      <formula1>0</formula1>
      <formula2>365</formula2>
    </dataValidation>
    <dataValidation type="whole" allowBlank="1" showInputMessage="1" showErrorMessage="1" promptTitle="Grazing time (days)" prompt="Days a year animals are allowed to graze outside." sqref="X111" xr:uid="{00000000-0002-0000-0300-000001000000}">
      <formula1>0</formula1>
      <formula2>365</formula2>
    </dataValidation>
    <dataValidation type="whole" allowBlank="1" showInputMessage="1" showErrorMessage="1" promptTitle="Production time (days)" prompt="The average residence time of the animal (time from animal enters the section til it leaves the section)." sqref="X110" xr:uid="{00000000-0002-0000-0300-000002000000}">
      <formula1>0</formula1>
      <formula2>365</formula2>
    </dataValidation>
    <dataValidation type="decimal" operator="greaterThanOrEqual" allowBlank="1" showInputMessage="1" showErrorMessage="1" promptTitle="urine total solids (%)" sqref="X115 B69" xr:uid="{00000000-0002-0000-0300-000003000000}">
      <formula1>0</formula1>
    </dataValidation>
    <dataValidation type="decimal" operator="greaterThanOrEqual" allowBlank="1" showInputMessage="1" showErrorMessage="1" promptTitle="total solids content feces (%)" sqref="X116 B70" xr:uid="{00000000-0002-0000-0300-000004000000}">
      <formula1>0</formula1>
    </dataValidation>
    <dataValidation type="decimal" operator="greaterThanOrEqual" allowBlank="1" showInputMessage="1" showErrorMessage="1" promptTitle="specific urine production " prompt="For pigs kg urine/kg feed TS_x000a_For cattle kg urine/kg feces" sqref="X114 B71" xr:uid="{00000000-0002-0000-0300-000005000000}">
      <formula1>0</formula1>
    </dataValidation>
    <dataValidation operator="greaterThanOrEqual" allowBlank="1" showInputMessage="1" showErrorMessage="1" promptTitle="Area per animal (m2)" prompt="The productivity area per animal" sqref="W128" xr:uid="{00000000-0002-0000-0300-000006000000}"/>
    <dataValidation operator="greaterThanOrEqual" allowBlank="1" showInputMessage="1" showErrorMessage="1" promptTitle="Area of slurry pit surface (m2)" sqref="W127" xr:uid="{00000000-0002-0000-0300-000007000000}"/>
    <dataValidation type="decimal" allowBlank="1" showInputMessage="1" showErrorMessage="1" promptTitle="Mortality rate (%)" prompt="How many of 100 animals die in production" sqref="X109" xr:uid="{00000000-0002-0000-0300-000008000000}">
      <formula1>0</formula1>
      <formula2>100</formula2>
    </dataValidation>
    <dataValidation type="decimal" operator="greaterThanOrEqual" allowBlank="1" showInputMessage="1" showErrorMessage="1" promptTitle="Number of animals per section" prompt="Enter number of animals of the selected animal category per section" sqref="X108" xr:uid="{00000000-0002-0000-0300-000009000000}">
      <formula1>1</formula1>
    </dataValidation>
    <dataValidation type="decimal" operator="greaterThan" allowBlank="1" showInputMessage="1" showErrorMessage="1" promptTitle="Depth of pit (cm)" prompt="Enter the depth of the slurry pit belows the floor" sqref="X118" xr:uid="{00000000-0002-0000-0300-00000A000000}">
      <formula1>0</formula1>
    </dataValidation>
    <dataValidation allowBlank="1" showInputMessage="1" showErrorMessage="1" promptTitle="Frequency of flushing (days)" prompt="How frequently is the slurry removed from the pit to external storages. If slurry is removed only when the pit is full type &quot;0&quot;" sqref="X119" xr:uid="{00000000-0002-0000-0300-00000B000000}"/>
    <dataValidation operator="greaterThanOrEqual" allowBlank="1" showInputMessage="1" showErrorMessage="1" promptTitle="Washing frequency (days)" prompt="washing frequency of the section. (Must be greater than slurry removal frequency to avoid error). Type &quot;NA&quot; if washing never occurs" sqref="X121" xr:uid="{00000000-0002-0000-0300-00000C000000}"/>
    <dataValidation allowBlank="1" showInputMessage="1" showErrorMessage="1" promptTitle="Empty time of section (days)" prompt="The time the section is empty from one batch of animals leaves the section til a new one enters" sqref="X123" xr:uid="{00000000-0002-0000-0300-00000D000000}"/>
    <dataValidation type="decimal" operator="greaterThanOrEqual" allowBlank="1" showInputMessage="1" showErrorMessage="1" promptTitle="Feed intake (kg/animal)" prompt="The average feed intake over a production period per animal" sqref="X113" xr:uid="{00000000-0002-0000-0300-00000E000000}">
      <formula1>0</formula1>
    </dataValidation>
    <dataValidation type="decimal" operator="greaterThanOrEqual" allowBlank="1" showInputMessage="1" showErrorMessage="1" promptTitle="bedding material (kg/animal)" prompt="bedding material added pr animal" sqref="X124" xr:uid="{00000000-0002-0000-0300-00000F000000}">
      <formula1>0</formula1>
    </dataValidation>
    <dataValidation type="decimal" operator="greaterThanOrEqual" allowBlank="1" showInputMessage="1" showErrorMessage="1" promptTitle="Average temperature (C)" prompt="The average temperature in the section (C)" sqref="X117" xr:uid="{00000000-0002-0000-0300-000010000000}">
      <formula1>0</formula1>
    </dataValidation>
    <dataValidation type="decimal" operator="greaterThanOrEqual" allowBlank="1" showInputMessage="1" showErrorMessage="1" promptTitle="Area per animal (m2)" prompt="The productivity area per animal" sqref="W126" xr:uid="{00000000-0002-0000-0300-000011000000}">
      <formula1>0</formula1>
    </dataValidation>
    <dataValidation operator="greaterThanOrEqual" allowBlank="1" showInputMessage="1" showErrorMessage="1" promptTitle="Washing water (kg/animal prod)" prompt="Type the amount of washing water used per animal produced" sqref="X122" xr:uid="{00000000-0002-0000-0300-000012000000}"/>
    <dataValidation type="decimal" allowBlank="1" showInputMessage="1" showErrorMessage="1" promptTitle="Slurry height after removal (cm)" prompt="Slurry height left in pit after removal (meters)" sqref="X120" xr:uid="{00000000-0002-0000-0300-000013000000}">
      <formula1>0</formula1>
      <formula2>X118</formula2>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dimension ref="A1:NF90"/>
  <sheetViews>
    <sheetView tabSelected="1" topLeftCell="A44" zoomScale="70" zoomScaleNormal="70" workbookViewId="0">
      <selection activeCell="B60" sqref="B60"/>
    </sheetView>
  </sheetViews>
  <sheetFormatPr defaultColWidth="11.5703125" defaultRowHeight="15" x14ac:dyDescent="0.25"/>
  <cols>
    <col min="1" max="1" width="30.7109375" customWidth="1"/>
    <col min="2" max="2" width="45.140625" bestFit="1" customWidth="1"/>
    <col min="3" max="4" width="37.140625" bestFit="1" customWidth="1"/>
    <col min="5" max="5" width="45.140625" bestFit="1" customWidth="1"/>
    <col min="6" max="7" width="37.140625" bestFit="1" customWidth="1"/>
    <col min="8" max="8" width="45.140625" bestFit="1" customWidth="1"/>
    <col min="9" max="10" width="37.140625" bestFit="1" customWidth="1"/>
    <col min="11" max="11" width="45.140625" bestFit="1" customWidth="1"/>
    <col min="12" max="13" width="37.140625" bestFit="1" customWidth="1"/>
    <col min="14" max="14" width="45.140625" bestFit="1" customWidth="1"/>
    <col min="15" max="16" width="37.140625" bestFit="1" customWidth="1"/>
    <col min="17" max="17" width="45.140625" bestFit="1" customWidth="1"/>
    <col min="18" max="19" width="37.140625" bestFit="1" customWidth="1"/>
    <col min="20" max="20" width="45.140625" bestFit="1" customWidth="1"/>
    <col min="21" max="22" width="37.140625" bestFit="1" customWidth="1"/>
    <col min="23" max="23" width="45.140625" bestFit="1" customWidth="1"/>
    <col min="24" max="25" width="37.140625" bestFit="1" customWidth="1"/>
    <col min="26" max="26" width="45.140625" bestFit="1" customWidth="1"/>
    <col min="27" max="28" width="37.140625" bestFit="1" customWidth="1"/>
    <col min="29" max="29" width="45.140625" bestFit="1" customWidth="1"/>
    <col min="30" max="31" width="37.140625" bestFit="1" customWidth="1"/>
  </cols>
  <sheetData>
    <row r="1" spans="1:370" ht="27" hidden="1" customHeight="1" x14ac:dyDescent="0.25">
      <c r="B1" s="9" t="str">
        <f>CONCATENATE("Section ",_xlfn.CEILING.MATH(COLUMNS($B1:B1)/3))</f>
        <v>Section 1</v>
      </c>
      <c r="C1" s="9" t="str">
        <f>CONCATENATE("Value ",_xlfn.CEILING.MATH(COLUMNS($B1:C1)/3))</f>
        <v>Value 1</v>
      </c>
      <c r="D1" s="9"/>
      <c r="E1" s="9" t="str">
        <f>CONCATENATE("Section ",_xlfn.CEILING.MATH(COLUMNS($B1:E1)/3))</f>
        <v>Section 2</v>
      </c>
      <c r="F1" s="9" t="str">
        <f>CONCATENATE("Value ",_xlfn.CEILING.MATH(COLUMNS($B1:F1)/3))</f>
        <v>Value 2</v>
      </c>
      <c r="G1" s="9"/>
      <c r="H1" s="9" t="str">
        <f>CONCATENATE("Section ",_xlfn.CEILING.MATH(COLUMNS($B1:H1)/3))</f>
        <v>Section 3</v>
      </c>
      <c r="I1" s="9" t="str">
        <f>CONCATENATE("Value ",_xlfn.CEILING.MATH(COLUMNS($B1:I1)/3))</f>
        <v>Value 3</v>
      </c>
      <c r="J1" s="9"/>
      <c r="K1" s="9" t="str">
        <f>CONCATENATE("Section ",_xlfn.CEILING.MATH(COLUMNS($B1:K1)/3))</f>
        <v>Section 4</v>
      </c>
      <c r="L1" s="9" t="str">
        <f>CONCATENATE("Value ",_xlfn.CEILING.MATH(COLUMNS($B1:L1)/3))</f>
        <v>Value 4</v>
      </c>
      <c r="M1" s="9"/>
      <c r="N1" s="9" t="str">
        <f>CONCATENATE("Section ",_xlfn.CEILING.MATH(COLUMNS($B1:N1)/3))</f>
        <v>Section 5</v>
      </c>
      <c r="O1" s="9" t="str">
        <f>CONCATENATE("Value ",_xlfn.CEILING.MATH(COLUMNS($B1:O1)/3))</f>
        <v>Value 5</v>
      </c>
      <c r="P1" s="9"/>
      <c r="Q1" s="9" t="str">
        <f>CONCATENATE("Section ",_xlfn.CEILING.MATH(COLUMNS($B1:Q1)/3))</f>
        <v>Section 6</v>
      </c>
      <c r="R1" s="9" t="str">
        <f>CONCATENATE("Value ",_xlfn.CEILING.MATH(COLUMNS($B1:R1)/3))</f>
        <v>Value 6</v>
      </c>
      <c r="S1" s="9"/>
      <c r="T1" s="9" t="str">
        <f>CONCATENATE("Section ",_xlfn.CEILING.MATH(COLUMNS($B1:T1)/3))</f>
        <v>Section 7</v>
      </c>
      <c r="U1" s="9" t="str">
        <f>CONCATENATE("Value ",_xlfn.CEILING.MATH(COLUMNS($B1:U1)/3))</f>
        <v>Value 7</v>
      </c>
      <c r="V1" s="9"/>
      <c r="W1" s="9" t="str">
        <f>CONCATENATE("Section ",_xlfn.CEILING.MATH(COLUMNS($B1:W1)/3))</f>
        <v>Section 8</v>
      </c>
      <c r="X1" s="9" t="str">
        <f>CONCATENATE("Value ",_xlfn.CEILING.MATH(COLUMNS($B1:X1)/3))</f>
        <v>Value 8</v>
      </c>
      <c r="Y1" s="9"/>
      <c r="Z1" s="9" t="str">
        <f>CONCATENATE("Section ",_xlfn.CEILING.MATH(COLUMNS($B1:Z1)/3))</f>
        <v>Section 9</v>
      </c>
      <c r="AA1" s="9" t="str">
        <f>CONCATENATE("Value ",_xlfn.CEILING.MATH(COLUMNS($B1:AA1)/3))</f>
        <v>Value 9</v>
      </c>
      <c r="AB1" s="9"/>
      <c r="AC1" s="9" t="str">
        <f>CONCATENATE("Section ",_xlfn.CEILING.MATH(COLUMNS($B1:AC1)/3))</f>
        <v>Section 10</v>
      </c>
      <c r="AD1" s="9" t="str">
        <f>CONCATENATE("Value ",_xlfn.CEILING.MATH(COLUMNS($B1:AD1)/3))</f>
        <v>Value 10</v>
      </c>
      <c r="AE1" s="9"/>
      <c r="AF1" s="9" t="str">
        <f>CONCATENATE("Section ",_xlfn.CEILING.MATH(COLUMNS($B1:AF1)/3))</f>
        <v>Section 11</v>
      </c>
      <c r="AG1" s="9" t="str">
        <f>CONCATENATE("Value ",_xlfn.CEILING.MATH(COLUMNS($B1:AG1)/3))</f>
        <v>Value 11</v>
      </c>
      <c r="AH1" s="9"/>
      <c r="AI1" s="9" t="str">
        <f>CONCATENATE("Section ",_xlfn.CEILING.MATH(COLUMNS($B1:AI1)/3))</f>
        <v>Section 12</v>
      </c>
      <c r="AJ1" s="9" t="str">
        <f>CONCATENATE("Value ",_xlfn.CEILING.MATH(COLUMNS($B1:AJ1)/3))</f>
        <v>Value 12</v>
      </c>
      <c r="AK1" s="9"/>
      <c r="AL1" s="9" t="str">
        <f>CONCATENATE("Section ",_xlfn.CEILING.MATH(COLUMNS($B1:AL1)/3))</f>
        <v>Section 13</v>
      </c>
      <c r="AM1" s="9" t="str">
        <f>CONCATENATE("Value ",_xlfn.CEILING.MATH(COLUMNS($B1:AM1)/3))</f>
        <v>Value 13</v>
      </c>
      <c r="AN1" s="9"/>
      <c r="AO1" s="9" t="str">
        <f>CONCATENATE("Section ",_xlfn.CEILING.MATH(COLUMNS($B1:AO1)/3))</f>
        <v>Section 14</v>
      </c>
      <c r="AP1" s="9" t="str">
        <f>CONCATENATE("Value ",_xlfn.CEILING.MATH(COLUMNS($B1:AP1)/3))</f>
        <v>Value 14</v>
      </c>
      <c r="AQ1" s="9"/>
      <c r="AR1" s="9" t="str">
        <f>CONCATENATE("Section ",_xlfn.CEILING.MATH(COLUMNS($B1:AR1)/3))</f>
        <v>Section 15</v>
      </c>
      <c r="AS1" s="9" t="str">
        <f>CONCATENATE("Value ",_xlfn.CEILING.MATH(COLUMNS($B1:AS1)/3))</f>
        <v>Value 15</v>
      </c>
      <c r="AT1" s="9"/>
      <c r="AU1" s="9" t="str">
        <f>CONCATENATE("Section ",_xlfn.CEILING.MATH(COLUMNS($B1:AU1)/3))</f>
        <v>Section 16</v>
      </c>
      <c r="AV1" s="9" t="str">
        <f>CONCATENATE("Value ",_xlfn.CEILING.MATH(COLUMNS($B1:AV1)/3))</f>
        <v>Value 16</v>
      </c>
      <c r="AW1" s="9"/>
      <c r="AX1" s="9" t="str">
        <f>CONCATENATE("Section ",_xlfn.CEILING.MATH(COLUMNS($B1:AX1)/3))</f>
        <v>Section 17</v>
      </c>
      <c r="AY1" s="9" t="str">
        <f>CONCATENATE("Value ",_xlfn.CEILING.MATH(COLUMNS($B1:AY1)/3))</f>
        <v>Value 17</v>
      </c>
      <c r="AZ1" s="9"/>
      <c r="BA1" s="9" t="str">
        <f>CONCATENATE("Section ",_xlfn.CEILING.MATH(COLUMNS($B1:BA1)/3))</f>
        <v>Section 18</v>
      </c>
      <c r="BB1" s="9" t="str">
        <f>CONCATENATE("Value ",_xlfn.CEILING.MATH(COLUMNS($B1:BB1)/3))</f>
        <v>Value 18</v>
      </c>
      <c r="BC1" s="9"/>
      <c r="BD1" s="9" t="str">
        <f>CONCATENATE("Section ",_xlfn.CEILING.MATH(COLUMNS($B1:BD1)/3))</f>
        <v>Section 19</v>
      </c>
      <c r="BE1" s="9" t="str">
        <f>CONCATENATE("Value ",_xlfn.CEILING.MATH(COLUMNS($B1:BE1)/3))</f>
        <v>Value 19</v>
      </c>
      <c r="BF1" s="9"/>
      <c r="BG1" s="9" t="str">
        <f>CONCATENATE("Section ",_xlfn.CEILING.MATH(COLUMNS($B1:BG1)/3))</f>
        <v>Section 20</v>
      </c>
      <c r="BH1" s="9" t="str">
        <f>CONCATENATE("Value ",_xlfn.CEILING.MATH(COLUMNS($B1:BH1)/3))</f>
        <v>Value 20</v>
      </c>
      <c r="BI1" s="9"/>
      <c r="BJ1" s="9" t="str">
        <f>CONCATENATE("Section ",_xlfn.CEILING.MATH(COLUMNS($B1:BJ1)/3))</f>
        <v>Section 21</v>
      </c>
      <c r="BK1" s="9" t="str">
        <f>CONCATENATE("Value ",_xlfn.CEILING.MATH(COLUMNS($B1:BK1)/3))</f>
        <v>Value 21</v>
      </c>
      <c r="BL1" s="9"/>
      <c r="BM1" s="9" t="str">
        <f>CONCATENATE("Section ",_xlfn.CEILING.MATH(COLUMNS($B1:BM1)/3))</f>
        <v>Section 22</v>
      </c>
      <c r="BN1" s="9" t="str">
        <f>CONCATENATE("Value ",_xlfn.CEILING.MATH(COLUMNS($B1:BN1)/3))</f>
        <v>Value 22</v>
      </c>
      <c r="BO1" s="9"/>
      <c r="BP1" s="9" t="str">
        <f>CONCATENATE("Section ",_xlfn.CEILING.MATH(COLUMNS($B1:BP1)/3))</f>
        <v>Section 23</v>
      </c>
      <c r="BQ1" s="9" t="str">
        <f>CONCATENATE("Value ",_xlfn.CEILING.MATH(COLUMNS($B1:BQ1)/3))</f>
        <v>Value 23</v>
      </c>
      <c r="BR1" s="9"/>
      <c r="BS1" s="9" t="str">
        <f>CONCATENATE("Section ",_xlfn.CEILING.MATH(COLUMNS($B1:BS1)/3))</f>
        <v>Section 24</v>
      </c>
      <c r="BT1" s="9" t="str">
        <f>CONCATENATE("Value ",_xlfn.CEILING.MATH(COLUMNS($B1:BT1)/3))</f>
        <v>Value 24</v>
      </c>
      <c r="BU1" s="9"/>
      <c r="BV1" s="9" t="str">
        <f>CONCATENATE("Section ",_xlfn.CEILING.MATH(COLUMNS($B1:BV1)/3))</f>
        <v>Section 25</v>
      </c>
      <c r="BW1" s="9" t="str">
        <f>CONCATENATE("Value ",_xlfn.CEILING.MATH(COLUMNS($B1:BW1)/3))</f>
        <v>Value 25</v>
      </c>
      <c r="BX1" s="9"/>
      <c r="BY1" s="9" t="str">
        <f>CONCATENATE("Section ",_xlfn.CEILING.MATH(COLUMNS($B1:BY1)/3))</f>
        <v>Section 26</v>
      </c>
      <c r="BZ1" s="9" t="str">
        <f>CONCATENATE("Value ",_xlfn.CEILING.MATH(COLUMNS($B1:BZ1)/3))</f>
        <v>Value 26</v>
      </c>
      <c r="CA1" s="9"/>
      <c r="CB1" s="9" t="str">
        <f>CONCATENATE("Section ",_xlfn.CEILING.MATH(COLUMNS($B1:CB1)/3))</f>
        <v>Section 27</v>
      </c>
      <c r="CC1" s="9" t="str">
        <f>CONCATENATE("Value ",_xlfn.CEILING.MATH(COLUMNS($B1:CC1)/3))</f>
        <v>Value 27</v>
      </c>
      <c r="CD1" s="9"/>
      <c r="CE1" s="9" t="str">
        <f>CONCATENATE("Section ",_xlfn.CEILING.MATH(COLUMNS($B1:CE1)/3))</f>
        <v>Section 28</v>
      </c>
      <c r="CF1" s="9" t="str">
        <f>CONCATENATE("Value ",_xlfn.CEILING.MATH(COLUMNS($B1:CF1)/3))</f>
        <v>Value 28</v>
      </c>
      <c r="CG1" s="9"/>
      <c r="CH1" s="9" t="str">
        <f>CONCATENATE("Section ",_xlfn.CEILING.MATH(COLUMNS($B1:CH1)/3))</f>
        <v>Section 29</v>
      </c>
      <c r="CI1" s="9" t="str">
        <f>CONCATENATE("Value ",_xlfn.CEILING.MATH(COLUMNS($B1:CI1)/3))</f>
        <v>Value 29</v>
      </c>
      <c r="CJ1" s="9"/>
      <c r="CK1" s="9" t="str">
        <f>CONCATENATE("Section ",_xlfn.CEILING.MATH(COLUMNS($B1:CK1)/3))</f>
        <v>Section 30</v>
      </c>
      <c r="CL1" s="9" t="str">
        <f>CONCATENATE("Value ",_xlfn.CEILING.MATH(COLUMNS($B1:CL1)/3))</f>
        <v>Value 30</v>
      </c>
      <c r="CM1" s="9"/>
      <c r="CN1" s="9" t="str">
        <f>CONCATENATE("Section ",_xlfn.CEILING.MATH(COLUMNS($B1:CN1)/3))</f>
        <v>Section 31</v>
      </c>
      <c r="CO1" s="9" t="str">
        <f>CONCATENATE("Value ",_xlfn.CEILING.MATH(COLUMNS($B1:CO1)/3))</f>
        <v>Value 31</v>
      </c>
      <c r="CP1" s="9"/>
      <c r="CQ1" s="9" t="str">
        <f>CONCATENATE("Section ",_xlfn.CEILING.MATH(COLUMNS($B1:CQ1)/3))</f>
        <v>Section 32</v>
      </c>
      <c r="CR1" s="9" t="str">
        <f>CONCATENATE("Value ",_xlfn.CEILING.MATH(COLUMNS($B1:CR1)/3))</f>
        <v>Value 32</v>
      </c>
      <c r="CS1" s="9"/>
      <c r="CT1" s="9" t="str">
        <f>CONCATENATE("Section ",_xlfn.CEILING.MATH(COLUMNS($B1:CT1)/3))</f>
        <v>Section 33</v>
      </c>
      <c r="CU1" s="9" t="str">
        <f>CONCATENATE("Value ",_xlfn.CEILING.MATH(COLUMNS($B1:CU1)/3))</f>
        <v>Value 33</v>
      </c>
      <c r="CV1" s="9"/>
      <c r="CW1" s="9" t="str">
        <f>CONCATENATE("Section ",_xlfn.CEILING.MATH(COLUMNS($B1:CW1)/3))</f>
        <v>Section 34</v>
      </c>
      <c r="CX1" s="9" t="str">
        <f>CONCATENATE("Value ",_xlfn.CEILING.MATH(COLUMNS($B1:CX1)/3))</f>
        <v>Value 34</v>
      </c>
      <c r="CY1" s="9"/>
      <c r="CZ1" s="9" t="str">
        <f>CONCATENATE("Section ",_xlfn.CEILING.MATH(COLUMNS($B1:CZ1)/3))</f>
        <v>Section 35</v>
      </c>
      <c r="DA1" s="9" t="str">
        <f>CONCATENATE("Value ",_xlfn.CEILING.MATH(COLUMNS($B1:DA1)/3))</f>
        <v>Value 35</v>
      </c>
      <c r="DB1" s="9"/>
      <c r="DC1" s="9" t="str">
        <f>CONCATENATE("Section ",_xlfn.CEILING.MATH(COLUMNS($B1:DC1)/3))</f>
        <v>Section 36</v>
      </c>
      <c r="DD1" s="9" t="str">
        <f>CONCATENATE("Value ",_xlfn.CEILING.MATH(COLUMNS($B1:DD1)/3))</f>
        <v>Value 36</v>
      </c>
      <c r="DE1" s="9"/>
      <c r="DF1" s="9" t="str">
        <f>CONCATENATE("Section ",_xlfn.CEILING.MATH(COLUMNS($B1:DF1)/3))</f>
        <v>Section 37</v>
      </c>
      <c r="DG1" s="9" t="str">
        <f>CONCATENATE("Value ",_xlfn.CEILING.MATH(COLUMNS($B1:DG1)/3))</f>
        <v>Value 37</v>
      </c>
      <c r="DH1" s="9"/>
      <c r="DI1" s="9" t="str">
        <f>CONCATENATE("Section ",_xlfn.CEILING.MATH(COLUMNS($B1:DI1)/3))</f>
        <v>Section 38</v>
      </c>
      <c r="DJ1" s="9" t="str">
        <f>CONCATENATE("Value ",_xlfn.CEILING.MATH(COLUMNS($B1:DJ1)/3))</f>
        <v>Value 38</v>
      </c>
      <c r="DK1" s="9"/>
      <c r="DL1" s="9" t="str">
        <f>CONCATENATE("Section ",_xlfn.CEILING.MATH(COLUMNS($B1:DL1)/3))</f>
        <v>Section 39</v>
      </c>
      <c r="DM1" s="9" t="str">
        <f>CONCATENATE("Value ",_xlfn.CEILING.MATH(COLUMNS($B1:DM1)/3))</f>
        <v>Value 39</v>
      </c>
      <c r="DN1" s="9"/>
      <c r="DO1" s="9" t="str">
        <f>CONCATENATE("Section ",_xlfn.CEILING.MATH(COLUMNS($B1:DO1)/3))</f>
        <v>Section 40</v>
      </c>
      <c r="DP1" s="9" t="str">
        <f>CONCATENATE("Value ",_xlfn.CEILING.MATH(COLUMNS($B1:DP1)/3))</f>
        <v>Value 40</v>
      </c>
      <c r="DQ1" s="9"/>
      <c r="DR1" s="9" t="str">
        <f>CONCATENATE("Section ",_xlfn.CEILING.MATH(COLUMNS($B1:DR1)/3))</f>
        <v>Section 41</v>
      </c>
      <c r="DS1" s="9" t="str">
        <f>CONCATENATE("Value ",_xlfn.CEILING.MATH(COLUMNS($B1:DS1)/3))</f>
        <v>Value 41</v>
      </c>
      <c r="DT1" s="9"/>
      <c r="DU1" s="9" t="str">
        <f>CONCATENATE("Section ",_xlfn.CEILING.MATH(COLUMNS($B1:DU1)/3))</f>
        <v>Section 42</v>
      </c>
      <c r="DV1" s="9" t="str">
        <f>CONCATENATE("Value ",_xlfn.CEILING.MATH(COLUMNS($B1:DV1)/3))</f>
        <v>Value 42</v>
      </c>
      <c r="DW1" s="9"/>
      <c r="DX1" s="9" t="str">
        <f>CONCATENATE("Section ",_xlfn.CEILING.MATH(COLUMNS($B1:DX1)/3))</f>
        <v>Section 43</v>
      </c>
      <c r="DY1" s="9" t="str">
        <f>CONCATENATE("Value ",_xlfn.CEILING.MATH(COLUMNS($B1:DY1)/3))</f>
        <v>Value 43</v>
      </c>
      <c r="DZ1" s="9"/>
      <c r="EA1" s="9" t="str">
        <f>CONCATENATE("Section ",_xlfn.CEILING.MATH(COLUMNS($B1:EA1)/3))</f>
        <v>Section 44</v>
      </c>
      <c r="EB1" s="9" t="str">
        <f>CONCATENATE("Value ",_xlfn.CEILING.MATH(COLUMNS($B1:EB1)/3))</f>
        <v>Value 44</v>
      </c>
      <c r="EC1" s="9"/>
      <c r="ED1" s="9" t="str">
        <f>CONCATENATE("Section ",_xlfn.CEILING.MATH(COLUMNS($B1:ED1)/3))</f>
        <v>Section 45</v>
      </c>
      <c r="EE1" s="9" t="str">
        <f>CONCATENATE("Value ",_xlfn.CEILING.MATH(COLUMNS($B1:EE1)/3))</f>
        <v>Value 45</v>
      </c>
      <c r="EF1" s="9"/>
      <c r="EG1" s="9" t="str">
        <f>CONCATENATE("Section ",_xlfn.CEILING.MATH(COLUMNS($B1:EG1)/3))</f>
        <v>Section 46</v>
      </c>
      <c r="EH1" s="9" t="str">
        <f>CONCATENATE("Value ",_xlfn.CEILING.MATH(COLUMNS($B1:EH1)/3))</f>
        <v>Value 46</v>
      </c>
      <c r="EI1" s="9"/>
      <c r="EJ1" s="9" t="str">
        <f>CONCATENATE("Section ",_xlfn.CEILING.MATH(COLUMNS($B1:EJ1)/3))</f>
        <v>Section 47</v>
      </c>
      <c r="EK1" s="9" t="str">
        <f>CONCATENATE("Value ",_xlfn.CEILING.MATH(COLUMNS($B1:EK1)/3))</f>
        <v>Value 47</v>
      </c>
      <c r="EL1" s="9"/>
      <c r="EM1" s="9" t="str">
        <f>CONCATENATE("Section ",_xlfn.CEILING.MATH(COLUMNS($B1:EM1)/3))</f>
        <v>Section 48</v>
      </c>
      <c r="EN1" s="9" t="str">
        <f>CONCATENATE("Value ",_xlfn.CEILING.MATH(COLUMNS($B1:EN1)/3))</f>
        <v>Value 48</v>
      </c>
      <c r="EO1" s="9"/>
      <c r="EP1" s="9" t="str">
        <f>CONCATENATE("Section ",_xlfn.CEILING.MATH(COLUMNS($B1:EP1)/3))</f>
        <v>Section 49</v>
      </c>
      <c r="EQ1" s="9" t="str">
        <f>CONCATENATE("Value ",_xlfn.CEILING.MATH(COLUMNS($B1:EQ1)/3))</f>
        <v>Value 49</v>
      </c>
      <c r="ER1" s="9"/>
      <c r="ES1" s="9" t="str">
        <f>CONCATENATE("Section ",_xlfn.CEILING.MATH(COLUMNS($B1:ES1)/3))</f>
        <v>Section 50</v>
      </c>
      <c r="ET1" s="9" t="str">
        <f>CONCATENATE("Value ",_xlfn.CEILING.MATH(COLUMNS($B1:ET1)/3))</f>
        <v>Value 50</v>
      </c>
      <c r="EU1" s="9"/>
      <c r="EV1" s="9" t="str">
        <f>CONCATENATE("Section ",_xlfn.CEILING.MATH(COLUMNS($B1:EV1)/3))</f>
        <v>Section 51</v>
      </c>
      <c r="EW1" s="9" t="str">
        <f>CONCATENATE("Value ",_xlfn.CEILING.MATH(COLUMNS($B1:EW1)/3))</f>
        <v>Value 51</v>
      </c>
      <c r="EX1" s="9"/>
      <c r="EY1" s="9" t="str">
        <f>CONCATENATE("Section ",_xlfn.CEILING.MATH(COLUMNS($B1:EY1)/3))</f>
        <v>Section 52</v>
      </c>
      <c r="EZ1" s="9" t="str">
        <f>CONCATENATE("Value ",_xlfn.CEILING.MATH(COLUMNS($B1:EZ1)/3))</f>
        <v>Value 52</v>
      </c>
      <c r="FA1" s="9"/>
      <c r="FB1" s="9" t="str">
        <f>CONCATENATE("Section ",_xlfn.CEILING.MATH(COLUMNS($B1:FB1)/3))</f>
        <v>Section 53</v>
      </c>
      <c r="FC1" s="9" t="str">
        <f>CONCATENATE("Value ",_xlfn.CEILING.MATH(COLUMNS($B1:FC1)/3))</f>
        <v>Value 53</v>
      </c>
      <c r="FD1" s="9"/>
      <c r="FE1" s="9" t="str">
        <f>CONCATENATE("Section ",_xlfn.CEILING.MATH(COLUMNS($B1:FE1)/3))</f>
        <v>Section 54</v>
      </c>
      <c r="FF1" s="9" t="str">
        <f>CONCATENATE("Value ",_xlfn.CEILING.MATH(COLUMNS($B1:FF1)/3))</f>
        <v>Value 54</v>
      </c>
      <c r="FG1" s="9"/>
      <c r="FH1" s="9" t="str">
        <f>CONCATENATE("Section ",_xlfn.CEILING.MATH(COLUMNS($B1:FH1)/3))</f>
        <v>Section 55</v>
      </c>
      <c r="FI1" s="9" t="str">
        <f>CONCATENATE("Value ",_xlfn.CEILING.MATH(COLUMNS($B1:FI1)/3))</f>
        <v>Value 55</v>
      </c>
      <c r="FJ1" s="9"/>
      <c r="FK1" s="9" t="str">
        <f>CONCATENATE("Section ",_xlfn.CEILING.MATH(COLUMNS($B1:FK1)/3))</f>
        <v>Section 56</v>
      </c>
      <c r="FL1" s="9" t="str">
        <f>CONCATENATE("Value ",_xlfn.CEILING.MATH(COLUMNS($B1:FL1)/3))</f>
        <v>Value 56</v>
      </c>
      <c r="FM1" s="9"/>
      <c r="FN1" s="9" t="str">
        <f>CONCATENATE("Section ",_xlfn.CEILING.MATH(COLUMNS($B1:FN1)/3))</f>
        <v>Section 57</v>
      </c>
      <c r="FO1" s="9" t="str">
        <f>CONCATENATE("Value ",_xlfn.CEILING.MATH(COLUMNS($B1:FO1)/3))</f>
        <v>Value 57</v>
      </c>
      <c r="FP1" s="9"/>
      <c r="FQ1" s="9" t="str">
        <f>CONCATENATE("Section ",_xlfn.CEILING.MATH(COLUMNS($B1:FQ1)/3))</f>
        <v>Section 58</v>
      </c>
      <c r="FR1" s="9" t="str">
        <f>CONCATENATE("Value ",_xlfn.CEILING.MATH(COLUMNS($B1:FR1)/3))</f>
        <v>Value 58</v>
      </c>
      <c r="FS1" s="9"/>
      <c r="FT1" s="9" t="str">
        <f>CONCATENATE("Section ",_xlfn.CEILING.MATH(COLUMNS($B1:FT1)/3))</f>
        <v>Section 59</v>
      </c>
      <c r="FU1" s="9" t="str">
        <f>CONCATENATE("Value ",_xlfn.CEILING.MATH(COLUMNS($B1:FU1)/3))</f>
        <v>Value 59</v>
      </c>
      <c r="FV1" s="9"/>
      <c r="FW1" s="9" t="str">
        <f>CONCATENATE("Section ",_xlfn.CEILING.MATH(COLUMNS($B1:FW1)/3))</f>
        <v>Section 60</v>
      </c>
      <c r="FX1" s="9" t="str">
        <f>CONCATENATE("Value ",_xlfn.CEILING.MATH(COLUMNS($B1:FX1)/3))</f>
        <v>Value 60</v>
      </c>
      <c r="FY1" s="9"/>
      <c r="FZ1" s="9" t="str">
        <f>CONCATENATE("Section ",_xlfn.CEILING.MATH(COLUMNS($B1:FZ1)/3))</f>
        <v>Section 61</v>
      </c>
      <c r="GA1" s="9" t="str">
        <f>CONCATENATE("Value ",_xlfn.CEILING.MATH(COLUMNS($B1:GA1)/3))</f>
        <v>Value 61</v>
      </c>
      <c r="GB1" s="9"/>
      <c r="GC1" s="9" t="str">
        <f>CONCATENATE("Section ",_xlfn.CEILING.MATH(COLUMNS($B1:GC1)/3))</f>
        <v>Section 62</v>
      </c>
      <c r="GD1" s="9" t="str">
        <f>CONCATENATE("Value ",_xlfn.CEILING.MATH(COLUMNS($B1:GD1)/3))</f>
        <v>Value 62</v>
      </c>
      <c r="GE1" s="9"/>
      <c r="GF1" s="9" t="str">
        <f>CONCATENATE("Section ",_xlfn.CEILING.MATH(COLUMNS($B1:GF1)/3))</f>
        <v>Section 63</v>
      </c>
      <c r="GG1" s="9" t="str">
        <f>CONCATENATE("Value ",_xlfn.CEILING.MATH(COLUMNS($B1:GG1)/3))</f>
        <v>Value 63</v>
      </c>
      <c r="GH1" s="9"/>
      <c r="GI1" s="9" t="str">
        <f>CONCATENATE("Section ",_xlfn.CEILING.MATH(COLUMNS($B1:GI1)/3))</f>
        <v>Section 64</v>
      </c>
      <c r="GJ1" s="9" t="str">
        <f>CONCATENATE("Value ",_xlfn.CEILING.MATH(COLUMNS($B1:GJ1)/3))</f>
        <v>Value 64</v>
      </c>
      <c r="GK1" s="9"/>
      <c r="GL1" s="9" t="str">
        <f>CONCATENATE("Section ",_xlfn.CEILING.MATH(COLUMNS($B1:GL1)/3))</f>
        <v>Section 65</v>
      </c>
      <c r="GM1" s="9" t="str">
        <f>CONCATENATE("Value ",_xlfn.CEILING.MATH(COLUMNS($B1:GM1)/3))</f>
        <v>Value 65</v>
      </c>
      <c r="GN1" s="9"/>
      <c r="GO1" s="9" t="str">
        <f>CONCATENATE("Section ",_xlfn.CEILING.MATH(COLUMNS($B1:GO1)/3))</f>
        <v>Section 66</v>
      </c>
      <c r="GP1" s="9" t="str">
        <f>CONCATENATE("Value ",_xlfn.CEILING.MATH(COLUMNS($B1:GP1)/3))</f>
        <v>Value 66</v>
      </c>
      <c r="GQ1" s="9"/>
      <c r="GR1" s="9" t="str">
        <f>CONCATENATE("Section ",_xlfn.CEILING.MATH(COLUMNS($B1:GR1)/3))</f>
        <v>Section 67</v>
      </c>
      <c r="GS1" s="9" t="str">
        <f>CONCATENATE("Value ",_xlfn.CEILING.MATH(COLUMNS($B1:GS1)/3))</f>
        <v>Value 67</v>
      </c>
      <c r="GT1" s="9"/>
      <c r="GU1" s="9" t="str">
        <f>CONCATENATE("Section ",_xlfn.CEILING.MATH(COLUMNS($B1:GU1)/3))</f>
        <v>Section 68</v>
      </c>
      <c r="GV1" s="9" t="str">
        <f>CONCATENATE("Value ",_xlfn.CEILING.MATH(COLUMNS($B1:GV1)/3))</f>
        <v>Value 68</v>
      </c>
      <c r="GW1" s="9"/>
      <c r="GX1" s="9" t="str">
        <f>CONCATENATE("Section ",_xlfn.CEILING.MATH(COLUMNS($B1:GX1)/3))</f>
        <v>Section 69</v>
      </c>
      <c r="GY1" s="9" t="str">
        <f>CONCATENATE("Value ",_xlfn.CEILING.MATH(COLUMNS($B1:GY1)/3))</f>
        <v>Value 69</v>
      </c>
      <c r="GZ1" s="9"/>
      <c r="HA1" s="9" t="str">
        <f>CONCATENATE("Section ",_xlfn.CEILING.MATH(COLUMNS($B1:HA1)/3))</f>
        <v>Section 70</v>
      </c>
      <c r="HB1" s="9" t="str">
        <f>CONCATENATE("Value ",_xlfn.CEILING.MATH(COLUMNS($B1:HB1)/3))</f>
        <v>Value 70</v>
      </c>
      <c r="HC1" s="9"/>
      <c r="HD1" s="9" t="str">
        <f>CONCATENATE("Section ",_xlfn.CEILING.MATH(COLUMNS($B1:HD1)/3))</f>
        <v>Section 71</v>
      </c>
      <c r="HE1" s="9" t="str">
        <f>CONCATENATE("Value ",_xlfn.CEILING.MATH(COLUMNS($B1:HE1)/3))</f>
        <v>Value 71</v>
      </c>
      <c r="HF1" s="9"/>
      <c r="HG1" s="9" t="str">
        <f>CONCATENATE("Section ",_xlfn.CEILING.MATH(COLUMNS($B1:HG1)/3))</f>
        <v>Section 72</v>
      </c>
      <c r="HH1" s="9" t="str">
        <f>CONCATENATE("Value ",_xlfn.CEILING.MATH(COLUMNS($B1:HH1)/3))</f>
        <v>Value 72</v>
      </c>
      <c r="HI1" s="9"/>
      <c r="HJ1" s="9" t="str">
        <f>CONCATENATE("Section ",_xlfn.CEILING.MATH(COLUMNS($B1:HJ1)/3))</f>
        <v>Section 73</v>
      </c>
      <c r="HK1" s="9" t="str">
        <f>CONCATENATE("Value ",_xlfn.CEILING.MATH(COLUMNS($B1:HK1)/3))</f>
        <v>Value 73</v>
      </c>
      <c r="HL1" s="9"/>
      <c r="HM1" s="9" t="str">
        <f>CONCATENATE("Section ",_xlfn.CEILING.MATH(COLUMNS($B1:HM1)/3))</f>
        <v>Section 74</v>
      </c>
      <c r="HN1" s="9" t="str">
        <f>CONCATENATE("Value ",_xlfn.CEILING.MATH(COLUMNS($B1:HN1)/3))</f>
        <v>Value 74</v>
      </c>
      <c r="HO1" s="9"/>
      <c r="HP1" s="9" t="str">
        <f>CONCATENATE("Section ",_xlfn.CEILING.MATH(COLUMNS($B1:HP1)/3))</f>
        <v>Section 75</v>
      </c>
      <c r="HQ1" s="9" t="str">
        <f>CONCATENATE("Value ",_xlfn.CEILING.MATH(COLUMNS($B1:HQ1)/3))</f>
        <v>Value 75</v>
      </c>
      <c r="HR1" s="9"/>
      <c r="HS1" s="9" t="str">
        <f>CONCATENATE("Section ",_xlfn.CEILING.MATH(COLUMNS($B1:HS1)/3))</f>
        <v>Section 76</v>
      </c>
      <c r="HT1" s="9" t="str">
        <f>CONCATENATE("Value ",_xlfn.CEILING.MATH(COLUMNS($B1:HT1)/3))</f>
        <v>Value 76</v>
      </c>
      <c r="HU1" s="9"/>
      <c r="HV1" s="9" t="str">
        <f>CONCATENATE("Section ",_xlfn.CEILING.MATH(COLUMNS($B1:HV1)/3))</f>
        <v>Section 77</v>
      </c>
      <c r="HW1" s="9" t="str">
        <f>CONCATENATE("Value ",_xlfn.CEILING.MATH(COLUMNS($B1:HW1)/3))</f>
        <v>Value 77</v>
      </c>
      <c r="HX1" s="9"/>
      <c r="HY1" s="9" t="str">
        <f>CONCATENATE("Section ",_xlfn.CEILING.MATH(COLUMNS($B1:HY1)/3))</f>
        <v>Section 78</v>
      </c>
      <c r="HZ1" s="9" t="str">
        <f>CONCATENATE("Value ",_xlfn.CEILING.MATH(COLUMNS($B1:HZ1)/3))</f>
        <v>Value 78</v>
      </c>
      <c r="IA1" s="9"/>
      <c r="IB1" s="9" t="str">
        <f>CONCATENATE("Section ",_xlfn.CEILING.MATH(COLUMNS($B1:IB1)/3))</f>
        <v>Section 79</v>
      </c>
      <c r="IC1" s="9" t="str">
        <f>CONCATENATE("Value ",_xlfn.CEILING.MATH(COLUMNS($B1:IC1)/3))</f>
        <v>Value 79</v>
      </c>
      <c r="ID1" s="9"/>
      <c r="IE1" s="9" t="str">
        <f>CONCATENATE("Section ",_xlfn.CEILING.MATH(COLUMNS($B1:IE1)/3))</f>
        <v>Section 80</v>
      </c>
      <c r="IF1" s="9" t="str">
        <f>CONCATENATE("Value ",_xlfn.CEILING.MATH(COLUMNS($B1:IF1)/3))</f>
        <v>Value 80</v>
      </c>
      <c r="IG1" s="9"/>
      <c r="IH1" s="9" t="str">
        <f>CONCATENATE("Section ",_xlfn.CEILING.MATH(COLUMNS($B1:IH1)/3))</f>
        <v>Section 81</v>
      </c>
      <c r="II1" s="9" t="str">
        <f>CONCATENATE("Value ",_xlfn.CEILING.MATH(COLUMNS($B1:II1)/3))</f>
        <v>Value 81</v>
      </c>
      <c r="IJ1" s="9"/>
      <c r="IK1" s="9" t="str">
        <f>CONCATENATE("Section ",_xlfn.CEILING.MATH(COLUMNS($B1:IK1)/3))</f>
        <v>Section 82</v>
      </c>
      <c r="IL1" s="9" t="str">
        <f>CONCATENATE("Value ",_xlfn.CEILING.MATH(COLUMNS($B1:IL1)/3))</f>
        <v>Value 82</v>
      </c>
      <c r="IM1" s="9"/>
      <c r="IN1" s="9" t="str">
        <f>CONCATENATE("Section ",_xlfn.CEILING.MATH(COLUMNS($B1:IN1)/3))</f>
        <v>Section 83</v>
      </c>
      <c r="IO1" s="9" t="str">
        <f>CONCATENATE("Value ",_xlfn.CEILING.MATH(COLUMNS($B1:IO1)/3))</f>
        <v>Value 83</v>
      </c>
      <c r="IP1" s="9"/>
      <c r="IQ1" s="9" t="str">
        <f>CONCATENATE("Section ",_xlfn.CEILING.MATH(COLUMNS($B1:IQ1)/3))</f>
        <v>Section 84</v>
      </c>
      <c r="IR1" s="9" t="str">
        <f>CONCATENATE("Value ",_xlfn.CEILING.MATH(COLUMNS($B1:IR1)/3))</f>
        <v>Value 84</v>
      </c>
      <c r="IS1" s="9"/>
      <c r="IT1" s="9" t="str">
        <f>CONCATENATE("Section ",_xlfn.CEILING.MATH(COLUMNS($B1:IT1)/3))</f>
        <v>Section 85</v>
      </c>
      <c r="IU1" s="9" t="str">
        <f>CONCATENATE("Value ",_xlfn.CEILING.MATH(COLUMNS($B1:IU1)/3))</f>
        <v>Value 85</v>
      </c>
      <c r="IV1" s="9"/>
      <c r="IW1" s="9" t="str">
        <f>CONCATENATE("Section ",_xlfn.CEILING.MATH(COLUMNS($B1:IW1)/3))</f>
        <v>Section 86</v>
      </c>
      <c r="IX1" s="9" t="str">
        <f>CONCATENATE("Value ",_xlfn.CEILING.MATH(COLUMNS($B1:IX1)/3))</f>
        <v>Value 86</v>
      </c>
      <c r="IY1" s="9"/>
      <c r="IZ1" s="9" t="str">
        <f>CONCATENATE("Section ",_xlfn.CEILING.MATH(COLUMNS($B1:IZ1)/3))</f>
        <v>Section 87</v>
      </c>
      <c r="JA1" s="9" t="str">
        <f>CONCATENATE("Value ",_xlfn.CEILING.MATH(COLUMNS($B1:JA1)/3))</f>
        <v>Value 87</v>
      </c>
      <c r="JB1" s="9"/>
      <c r="JC1" s="9" t="str">
        <f>CONCATENATE("Section ",_xlfn.CEILING.MATH(COLUMNS($B1:JC1)/3))</f>
        <v>Section 88</v>
      </c>
      <c r="JD1" s="9" t="str">
        <f>CONCATENATE("Value ",_xlfn.CEILING.MATH(COLUMNS($B1:JD1)/3))</f>
        <v>Value 88</v>
      </c>
      <c r="JE1" s="9"/>
      <c r="JF1" s="9" t="str">
        <f>CONCATENATE("Section ",_xlfn.CEILING.MATH(COLUMNS($B1:JF1)/3))</f>
        <v>Section 89</v>
      </c>
      <c r="JG1" s="9" t="str">
        <f>CONCATENATE("Value ",_xlfn.CEILING.MATH(COLUMNS($B1:JG1)/3))</f>
        <v>Value 89</v>
      </c>
      <c r="JH1" s="9"/>
      <c r="JI1" s="9" t="str">
        <f>CONCATENATE("Section ",_xlfn.CEILING.MATH(COLUMNS($B1:JI1)/3))</f>
        <v>Section 90</v>
      </c>
      <c r="JJ1" s="9" t="str">
        <f>CONCATENATE("Value ",_xlfn.CEILING.MATH(COLUMNS($B1:JJ1)/3))</f>
        <v>Value 90</v>
      </c>
      <c r="JK1" s="9"/>
      <c r="JL1" s="9" t="str">
        <f>CONCATENATE("Section ",_xlfn.CEILING.MATH(COLUMNS($B1:JL1)/3))</f>
        <v>Section 91</v>
      </c>
      <c r="JM1" s="9" t="str">
        <f>CONCATENATE("Value ",_xlfn.CEILING.MATH(COLUMNS($B1:JM1)/3))</f>
        <v>Value 91</v>
      </c>
      <c r="JN1" s="9"/>
      <c r="JO1" s="9" t="str">
        <f>CONCATENATE("Section ",_xlfn.CEILING.MATH(COLUMNS($B1:JO1)/3))</f>
        <v>Section 92</v>
      </c>
      <c r="JP1" s="9" t="str">
        <f>CONCATENATE("Value ",_xlfn.CEILING.MATH(COLUMNS($B1:JP1)/3))</f>
        <v>Value 92</v>
      </c>
      <c r="JQ1" s="9"/>
      <c r="JR1" s="9" t="str">
        <f>CONCATENATE("Section ",_xlfn.CEILING.MATH(COLUMNS($B1:JR1)/3))</f>
        <v>Section 93</v>
      </c>
      <c r="JS1" s="9" t="str">
        <f>CONCATENATE("Value ",_xlfn.CEILING.MATH(COLUMNS($B1:JS1)/3))</f>
        <v>Value 93</v>
      </c>
      <c r="JT1" s="9"/>
      <c r="JU1" s="9" t="str">
        <f>CONCATENATE("Section ",_xlfn.CEILING.MATH(COLUMNS($B1:JU1)/3))</f>
        <v>Section 94</v>
      </c>
      <c r="JV1" s="9" t="str">
        <f>CONCATENATE("Value ",_xlfn.CEILING.MATH(COLUMNS($B1:JV1)/3))</f>
        <v>Value 94</v>
      </c>
      <c r="JW1" s="9"/>
      <c r="JX1" s="9" t="str">
        <f>CONCATENATE("Section ",_xlfn.CEILING.MATH(COLUMNS($B1:JX1)/3))</f>
        <v>Section 95</v>
      </c>
      <c r="JY1" s="9" t="str">
        <f>CONCATENATE("Value ",_xlfn.CEILING.MATH(COLUMNS($B1:JY1)/3))</f>
        <v>Value 95</v>
      </c>
      <c r="JZ1" s="9"/>
      <c r="KA1" s="9" t="str">
        <f>CONCATENATE("Section ",_xlfn.CEILING.MATH(COLUMNS($B1:KA1)/3))</f>
        <v>Section 96</v>
      </c>
      <c r="KB1" s="9" t="str">
        <f>CONCATENATE("Value ",_xlfn.CEILING.MATH(COLUMNS($B1:KB1)/3))</f>
        <v>Value 96</v>
      </c>
      <c r="KC1" s="9"/>
      <c r="KD1" s="9" t="str">
        <f>CONCATENATE("Section ",_xlfn.CEILING.MATH(COLUMNS($B1:KD1)/3))</f>
        <v>Section 97</v>
      </c>
      <c r="KE1" s="9" t="str">
        <f>CONCATENATE("Value ",_xlfn.CEILING.MATH(COLUMNS($B1:KE1)/3))</f>
        <v>Value 97</v>
      </c>
      <c r="KF1" s="9"/>
      <c r="KG1" s="9" t="str">
        <f>CONCATENATE("Section ",_xlfn.CEILING.MATH(COLUMNS($B1:KG1)/3))</f>
        <v>Section 98</v>
      </c>
      <c r="KH1" s="9" t="str">
        <f>CONCATENATE("Value ",_xlfn.CEILING.MATH(COLUMNS($B1:KH1)/3))</f>
        <v>Value 98</v>
      </c>
      <c r="KI1" s="9"/>
      <c r="KJ1" s="9" t="str">
        <f>CONCATENATE("Section ",_xlfn.CEILING.MATH(COLUMNS($B1:KJ1)/3))</f>
        <v>Section 99</v>
      </c>
      <c r="KK1" s="9" t="str">
        <f>CONCATENATE("Value ",_xlfn.CEILING.MATH(COLUMNS($B1:KK1)/3))</f>
        <v>Value 99</v>
      </c>
      <c r="KL1" s="9"/>
      <c r="KM1" s="9" t="str">
        <f>CONCATENATE("Section ",_xlfn.CEILING.MATH(COLUMNS($B1:KM1)/3))</f>
        <v>Section 100</v>
      </c>
      <c r="KN1" s="9" t="str">
        <f>CONCATENATE("Value ",_xlfn.CEILING.MATH(COLUMNS($B1:KN1)/3))</f>
        <v>Value 100</v>
      </c>
      <c r="KO1" s="9"/>
      <c r="KP1" s="9" t="str">
        <f>CONCATENATE("Section ",_xlfn.CEILING.MATH(COLUMNS($B1:KP1)/3))</f>
        <v>Section 101</v>
      </c>
      <c r="KQ1" s="9" t="str">
        <f>CONCATENATE("Value ",_xlfn.CEILING.MATH(COLUMNS($B1:KQ1)/3))</f>
        <v>Value 101</v>
      </c>
      <c r="KR1" s="9"/>
      <c r="KS1" s="9" t="str">
        <f>CONCATENATE("Section ",_xlfn.CEILING.MATH(COLUMNS($B1:KS1)/3))</f>
        <v>Section 102</v>
      </c>
      <c r="KT1" s="9" t="str">
        <f>CONCATENATE("Value ",_xlfn.CEILING.MATH(COLUMNS($B1:KT1)/3))</f>
        <v>Value 102</v>
      </c>
      <c r="KU1" s="9"/>
      <c r="KV1" s="9" t="str">
        <f>CONCATENATE("Section ",_xlfn.CEILING.MATH(COLUMNS($B1:KV1)/3))</f>
        <v>Section 103</v>
      </c>
      <c r="KW1" s="9" t="str">
        <f>CONCATENATE("Value ",_xlfn.CEILING.MATH(COLUMNS($B1:KW1)/3))</f>
        <v>Value 103</v>
      </c>
      <c r="KX1" s="9"/>
      <c r="KY1" s="9" t="str">
        <f>CONCATENATE("Section ",_xlfn.CEILING.MATH(COLUMNS($B1:KY1)/3))</f>
        <v>Section 104</v>
      </c>
      <c r="KZ1" s="9" t="str">
        <f>CONCATENATE("Value ",_xlfn.CEILING.MATH(COLUMNS($B1:KZ1)/3))</f>
        <v>Value 104</v>
      </c>
      <c r="LA1" s="9"/>
      <c r="LB1" s="9" t="str">
        <f>CONCATENATE("Section ",_xlfn.CEILING.MATH(COLUMNS($B1:LB1)/3))</f>
        <v>Section 105</v>
      </c>
      <c r="LC1" s="9" t="str">
        <f>CONCATENATE("Value ",_xlfn.CEILING.MATH(COLUMNS($B1:LC1)/3))</f>
        <v>Value 105</v>
      </c>
      <c r="LD1" s="9"/>
      <c r="LE1" s="9" t="str">
        <f>CONCATENATE("Section ",_xlfn.CEILING.MATH(COLUMNS($B1:LE1)/3))</f>
        <v>Section 106</v>
      </c>
      <c r="LF1" s="9" t="str">
        <f>CONCATENATE("Value ",_xlfn.CEILING.MATH(COLUMNS($B1:LF1)/3))</f>
        <v>Value 106</v>
      </c>
      <c r="LG1" s="9"/>
      <c r="LH1" s="9" t="str">
        <f>CONCATENATE("Section ",_xlfn.CEILING.MATH(COLUMNS($B1:LH1)/3))</f>
        <v>Section 107</v>
      </c>
      <c r="LI1" s="9" t="str">
        <f>CONCATENATE("Value ",_xlfn.CEILING.MATH(COLUMNS($B1:LI1)/3))</f>
        <v>Value 107</v>
      </c>
      <c r="LJ1" s="9"/>
      <c r="LK1" s="9" t="str">
        <f>CONCATENATE("Section ",_xlfn.CEILING.MATH(COLUMNS($B1:LK1)/3))</f>
        <v>Section 108</v>
      </c>
      <c r="LL1" s="9" t="str">
        <f>CONCATENATE("Value ",_xlfn.CEILING.MATH(COLUMNS($B1:LL1)/3))</f>
        <v>Value 108</v>
      </c>
      <c r="LM1" s="9"/>
      <c r="LN1" s="9" t="str">
        <f>CONCATENATE("Section ",_xlfn.CEILING.MATH(COLUMNS($B1:LN1)/3))</f>
        <v>Section 109</v>
      </c>
      <c r="LO1" s="9" t="str">
        <f>CONCATENATE("Value ",_xlfn.CEILING.MATH(COLUMNS($B1:LO1)/3))</f>
        <v>Value 109</v>
      </c>
      <c r="LP1" s="9"/>
      <c r="LQ1" s="9" t="str">
        <f>CONCATENATE("Section ",_xlfn.CEILING.MATH(COLUMNS($B1:LQ1)/3))</f>
        <v>Section 110</v>
      </c>
      <c r="LR1" s="9" t="str">
        <f>CONCATENATE("Value ",_xlfn.CEILING.MATH(COLUMNS($B1:LR1)/3))</f>
        <v>Value 110</v>
      </c>
      <c r="LS1" s="9"/>
      <c r="LT1" s="9" t="str">
        <f>CONCATENATE("Section ",_xlfn.CEILING.MATH(COLUMNS($B1:LT1)/3))</f>
        <v>Section 111</v>
      </c>
      <c r="LU1" s="9" t="str">
        <f>CONCATENATE("Value ",_xlfn.CEILING.MATH(COLUMNS($B1:LU1)/3))</f>
        <v>Value 111</v>
      </c>
      <c r="LV1" s="9"/>
      <c r="LW1" s="9" t="str">
        <f>CONCATENATE("Section ",_xlfn.CEILING.MATH(COLUMNS($B1:LW1)/3))</f>
        <v>Section 112</v>
      </c>
      <c r="LX1" s="9" t="str">
        <f>CONCATENATE("Value ",_xlfn.CEILING.MATH(COLUMNS($B1:LX1)/3))</f>
        <v>Value 112</v>
      </c>
      <c r="LY1" s="9"/>
      <c r="LZ1" s="9" t="str">
        <f>CONCATENATE("Section ",_xlfn.CEILING.MATH(COLUMNS($B1:LZ1)/3))</f>
        <v>Section 113</v>
      </c>
      <c r="MA1" s="9" t="str">
        <f>CONCATENATE("Value ",_xlfn.CEILING.MATH(COLUMNS($B1:MA1)/3))</f>
        <v>Value 113</v>
      </c>
      <c r="MB1" s="9"/>
      <c r="MC1" s="9" t="str">
        <f>CONCATENATE("Section ",_xlfn.CEILING.MATH(COLUMNS($B1:MC1)/3))</f>
        <v>Section 114</v>
      </c>
      <c r="MD1" s="9" t="str">
        <f>CONCATENATE("Value ",_xlfn.CEILING.MATH(COLUMNS($B1:MD1)/3))</f>
        <v>Value 114</v>
      </c>
      <c r="ME1" s="9"/>
      <c r="MF1" s="9" t="str">
        <f>CONCATENATE("Section ",_xlfn.CEILING.MATH(COLUMNS($B1:MF1)/3))</f>
        <v>Section 115</v>
      </c>
      <c r="MG1" s="9" t="str">
        <f>CONCATENATE("Value ",_xlfn.CEILING.MATH(COLUMNS($B1:MG1)/3))</f>
        <v>Value 115</v>
      </c>
      <c r="MH1" s="9"/>
      <c r="MI1" s="9" t="str">
        <f>CONCATENATE("Section ",_xlfn.CEILING.MATH(COLUMNS($B1:MI1)/3))</f>
        <v>Section 116</v>
      </c>
      <c r="MJ1" s="9" t="str">
        <f>CONCATENATE("Value ",_xlfn.CEILING.MATH(COLUMNS($B1:MJ1)/3))</f>
        <v>Value 116</v>
      </c>
      <c r="MK1" s="9"/>
      <c r="ML1" s="9" t="str">
        <f>CONCATENATE("Section ",_xlfn.CEILING.MATH(COLUMNS($B1:ML1)/3))</f>
        <v>Section 117</v>
      </c>
      <c r="MM1" s="9" t="str">
        <f>CONCATENATE("Value ",_xlfn.CEILING.MATH(COLUMNS($B1:MM1)/3))</f>
        <v>Value 117</v>
      </c>
      <c r="MN1" s="9"/>
      <c r="MO1" s="9" t="str">
        <f>CONCATENATE("Section ",_xlfn.CEILING.MATH(COLUMNS($B1:MO1)/3))</f>
        <v>Section 118</v>
      </c>
      <c r="MP1" s="9" t="str">
        <f>CONCATENATE("Value ",_xlfn.CEILING.MATH(COLUMNS($B1:MP1)/3))</f>
        <v>Value 118</v>
      </c>
      <c r="MQ1" s="9"/>
      <c r="MR1" s="9" t="str">
        <f>CONCATENATE("Section ",_xlfn.CEILING.MATH(COLUMNS($B1:MR1)/3))</f>
        <v>Section 119</v>
      </c>
      <c r="MS1" s="9" t="str">
        <f>CONCATENATE("Value ",_xlfn.CEILING.MATH(COLUMNS($B1:MS1)/3))</f>
        <v>Value 119</v>
      </c>
      <c r="MT1" s="9"/>
      <c r="MU1" s="9" t="str">
        <f>CONCATENATE("Section ",_xlfn.CEILING.MATH(COLUMNS($B1:MU1)/3))</f>
        <v>Section 120</v>
      </c>
      <c r="MV1" s="9" t="str">
        <f>CONCATENATE("Value ",_xlfn.CEILING.MATH(COLUMNS($B1:MV1)/3))</f>
        <v>Value 120</v>
      </c>
      <c r="MW1" s="9"/>
      <c r="MX1" s="9" t="str">
        <f>CONCATENATE("Section ",_xlfn.CEILING.MATH(COLUMNS($B1:MX1)/3))</f>
        <v>Section 121</v>
      </c>
      <c r="MY1" s="9" t="str">
        <f>CONCATENATE("Value ",_xlfn.CEILING.MATH(COLUMNS($B1:MY1)/3))</f>
        <v>Value 121</v>
      </c>
      <c r="MZ1" s="9"/>
      <c r="NA1" s="9" t="str">
        <f>CONCATENATE("Section ",_xlfn.CEILING.MATH(COLUMNS($B1:NA1)/3))</f>
        <v>Section 122</v>
      </c>
      <c r="NB1" s="9" t="str">
        <f>CONCATENATE("Value ",_xlfn.CEILING.MATH(COLUMNS($B1:NB1)/3))</f>
        <v>Value 122</v>
      </c>
      <c r="NC1" s="9"/>
      <c r="ND1" s="9" t="str">
        <f>CONCATENATE("Section ",_xlfn.CEILING.MATH(COLUMNS($B1:ND1)/3))</f>
        <v>Section 123</v>
      </c>
      <c r="NE1" s="9" t="str">
        <f>CONCATENATE("Value ",_xlfn.CEILING.MATH(COLUMNS($B1:NE1)/3))</f>
        <v>Value 123</v>
      </c>
      <c r="NF1" s="9"/>
    </row>
    <row r="2" spans="1:370" ht="27" hidden="1" customHeight="1" x14ac:dyDescent="0.25"/>
    <row r="3" spans="1:370" ht="27" customHeight="1" x14ac:dyDescent="0.25"/>
    <row r="4" spans="1:370" ht="27" customHeight="1" x14ac:dyDescent="0.25"/>
    <row r="5" spans="1:370" ht="15" customHeight="1" x14ac:dyDescent="0.25">
      <c r="B5" s="9"/>
      <c r="C5" s="14"/>
      <c r="D5" s="14"/>
      <c r="E5" s="14"/>
      <c r="G5" s="9"/>
      <c r="H5" s="14"/>
      <c r="I5" s="14"/>
      <c r="J5" s="14"/>
      <c r="L5" s="9"/>
      <c r="M5" s="14"/>
      <c r="N5" s="14"/>
      <c r="O5" s="14"/>
      <c r="Q5" s="9"/>
      <c r="R5" s="14"/>
      <c r="S5" s="14"/>
      <c r="T5" s="14"/>
      <c r="V5" s="9"/>
      <c r="W5" s="14"/>
      <c r="X5" s="14"/>
      <c r="Y5" s="14"/>
      <c r="AA5" s="9"/>
      <c r="AB5" s="14"/>
      <c r="AC5" s="14"/>
      <c r="AD5" s="14"/>
      <c r="AF5" s="9"/>
      <c r="AG5" s="14"/>
      <c r="AH5" s="14"/>
      <c r="AI5" s="14"/>
      <c r="AK5" s="9"/>
      <c r="AL5" s="14"/>
      <c r="AM5" s="14"/>
      <c r="AN5" s="14"/>
      <c r="AP5" s="9"/>
      <c r="AQ5" s="14"/>
      <c r="AR5" s="14"/>
      <c r="AS5" s="14"/>
      <c r="AU5" s="9"/>
      <c r="AV5" s="14"/>
      <c r="AW5" s="14"/>
      <c r="AX5" s="14"/>
      <c r="AZ5" s="9"/>
      <c r="BA5" s="14"/>
      <c r="BB5" s="14"/>
      <c r="BC5" s="14"/>
      <c r="BE5" s="9"/>
      <c r="BF5" s="14"/>
      <c r="BG5" s="14"/>
      <c r="BH5" s="14"/>
      <c r="BJ5" s="9"/>
      <c r="BK5" s="14"/>
      <c r="BL5" s="14"/>
      <c r="BM5" s="14"/>
      <c r="BO5" s="9"/>
      <c r="BP5" s="14"/>
      <c r="BQ5" s="14"/>
      <c r="BR5" s="14"/>
      <c r="BT5" s="9"/>
      <c r="BU5" s="14"/>
      <c r="BV5" s="14"/>
      <c r="BW5" s="14"/>
      <c r="BY5" s="9"/>
      <c r="BZ5" s="14"/>
      <c r="CA5" s="14"/>
      <c r="CB5" s="14"/>
      <c r="CD5" s="9"/>
      <c r="CE5" s="14"/>
      <c r="CF5" s="14"/>
      <c r="CG5" s="14"/>
      <c r="CI5" s="9"/>
      <c r="CJ5" s="14"/>
      <c r="CK5" s="14"/>
      <c r="CL5" s="14"/>
      <c r="CN5" s="9"/>
      <c r="CO5" s="14"/>
      <c r="CP5" s="14"/>
      <c r="CQ5" s="14"/>
      <c r="CS5" s="9"/>
      <c r="CT5" s="14"/>
      <c r="CU5" s="14"/>
      <c r="CV5" s="14"/>
      <c r="CX5" s="9"/>
      <c r="CY5" s="14"/>
      <c r="CZ5" s="14"/>
      <c r="DA5" s="14"/>
      <c r="DC5" s="9"/>
      <c r="DD5" s="14"/>
      <c r="DE5" s="14"/>
      <c r="DF5" s="14"/>
      <c r="DH5" s="9"/>
      <c r="DI5" s="14"/>
      <c r="DJ5" s="14"/>
      <c r="DK5" s="14"/>
      <c r="DM5" s="9"/>
      <c r="DN5" s="14"/>
      <c r="DO5" s="14"/>
      <c r="DP5" s="14"/>
      <c r="DR5" s="9"/>
      <c r="DS5" s="14"/>
      <c r="DT5" s="14"/>
      <c r="DU5" s="14"/>
      <c r="DW5" s="9"/>
      <c r="DX5" s="14"/>
      <c r="DY5" s="14"/>
      <c r="DZ5" s="14"/>
      <c r="EB5" s="9"/>
      <c r="EC5" s="14"/>
      <c r="ED5" s="14"/>
      <c r="EE5" s="14"/>
      <c r="EG5" s="9"/>
      <c r="EH5" s="14"/>
      <c r="EI5" s="14"/>
      <c r="EJ5" s="14"/>
      <c r="EL5" s="9"/>
      <c r="EM5" s="14"/>
      <c r="EN5" s="14"/>
      <c r="EO5" s="14"/>
      <c r="EQ5" s="9"/>
      <c r="ER5" s="14"/>
      <c r="ES5" s="14"/>
      <c r="ET5" s="14"/>
      <c r="EV5" s="9"/>
      <c r="EW5" s="14"/>
      <c r="EX5" s="14"/>
      <c r="EY5" s="14"/>
      <c r="FA5" s="9"/>
      <c r="FB5" s="14"/>
      <c r="FC5" s="14"/>
      <c r="FD5" s="14"/>
      <c r="FF5" s="9"/>
      <c r="FG5" s="14"/>
      <c r="FH5" s="14"/>
      <c r="FI5" s="14"/>
      <c r="FK5" s="9"/>
      <c r="FL5" s="14"/>
      <c r="FM5" s="14"/>
      <c r="FN5" s="14"/>
      <c r="FP5" s="9"/>
      <c r="FQ5" s="14"/>
      <c r="FR5" s="14"/>
      <c r="FS5" s="14"/>
      <c r="FU5" s="9"/>
      <c r="FV5" s="14"/>
      <c r="FW5" s="14"/>
      <c r="FX5" s="14"/>
      <c r="FZ5" s="9"/>
      <c r="GA5" s="14"/>
      <c r="GB5" s="14"/>
      <c r="GC5" s="14"/>
      <c r="GE5" s="9"/>
      <c r="GF5" s="14"/>
      <c r="GG5" s="14"/>
      <c r="GH5" s="14"/>
      <c r="GJ5" s="9"/>
      <c r="GK5" s="14"/>
      <c r="GL5" s="14"/>
      <c r="GM5" s="14"/>
      <c r="GO5" s="9"/>
      <c r="GP5" s="14"/>
      <c r="GQ5" s="14"/>
      <c r="GR5" s="14"/>
      <c r="GT5" s="9"/>
      <c r="GU5" s="14"/>
      <c r="GV5" s="14"/>
      <c r="GW5" s="14"/>
      <c r="GY5" s="9"/>
      <c r="GZ5" s="14"/>
      <c r="HA5" s="14"/>
      <c r="HB5" s="14"/>
      <c r="HD5" s="9"/>
      <c r="HE5" s="14"/>
      <c r="HF5" s="14"/>
      <c r="HG5" s="14"/>
      <c r="HI5" s="9"/>
      <c r="HJ5" s="14"/>
      <c r="HK5" s="14"/>
      <c r="HL5" s="14"/>
      <c r="HN5" s="9"/>
      <c r="HO5" s="14"/>
      <c r="HP5" s="14"/>
      <c r="HQ5" s="14"/>
      <c r="HS5" s="9"/>
      <c r="HT5" s="14"/>
      <c r="HU5" s="14"/>
      <c r="HV5" s="14"/>
      <c r="HX5" s="9"/>
      <c r="HY5" s="14"/>
      <c r="HZ5" s="14"/>
      <c r="IA5" s="14"/>
    </row>
    <row r="6" spans="1:370" ht="15" customHeight="1" x14ac:dyDescent="0.25">
      <c r="A6" s="69" t="s">
        <v>804</v>
      </c>
      <c r="B6" s="31" t="str">
        <f>B1</f>
        <v>Section 1</v>
      </c>
      <c r="C6" s="31" t="str">
        <f>C1</f>
        <v>Value 1</v>
      </c>
      <c r="D6" s="31" t="s">
        <v>159</v>
      </c>
      <c r="E6" s="31" t="str">
        <f>E1</f>
        <v>Section 2</v>
      </c>
      <c r="F6" s="31" t="str">
        <f>F1</f>
        <v>Value 2</v>
      </c>
      <c r="G6" s="31" t="s">
        <v>159</v>
      </c>
      <c r="H6" s="31" t="str">
        <f>H1</f>
        <v>Section 3</v>
      </c>
      <c r="I6" s="31" t="str">
        <f>I1</f>
        <v>Value 3</v>
      </c>
      <c r="J6" s="31" t="s">
        <v>159</v>
      </c>
      <c r="K6" s="31" t="str">
        <f>K1</f>
        <v>Section 4</v>
      </c>
      <c r="L6" s="31" t="str">
        <f>L1</f>
        <v>Value 4</v>
      </c>
      <c r="M6" s="31" t="s">
        <v>159</v>
      </c>
      <c r="N6" s="31" t="str">
        <f>N1</f>
        <v>Section 5</v>
      </c>
      <c r="O6" s="31" t="str">
        <f>O1</f>
        <v>Value 5</v>
      </c>
      <c r="P6" s="31" t="s">
        <v>159</v>
      </c>
      <c r="Q6" s="31" t="str">
        <f>Q1</f>
        <v>Section 6</v>
      </c>
      <c r="R6" s="31" t="str">
        <f>R1</f>
        <v>Value 6</v>
      </c>
      <c r="S6" s="31" t="s">
        <v>159</v>
      </c>
      <c r="T6" s="31" t="str">
        <f>T1</f>
        <v>Section 7</v>
      </c>
      <c r="U6" s="31" t="str">
        <f>U1</f>
        <v>Value 7</v>
      </c>
      <c r="V6" s="31" t="s">
        <v>159</v>
      </c>
      <c r="W6" s="31" t="str">
        <f>W1</f>
        <v>Section 8</v>
      </c>
      <c r="X6" s="31" t="str">
        <f>X1</f>
        <v>Value 8</v>
      </c>
      <c r="Y6" s="31" t="s">
        <v>159</v>
      </c>
      <c r="Z6" s="31" t="str">
        <f>Z1</f>
        <v>Section 9</v>
      </c>
      <c r="AA6" s="31" t="str">
        <f>AA1</f>
        <v>Value 9</v>
      </c>
      <c r="AB6" s="31" t="s">
        <v>159</v>
      </c>
      <c r="AC6" s="31" t="str">
        <f>AC1</f>
        <v>Section 10</v>
      </c>
      <c r="AD6" s="31" t="str">
        <f>AD1</f>
        <v>Value 10</v>
      </c>
      <c r="AE6" s="31" t="s">
        <v>159</v>
      </c>
    </row>
    <row r="7" spans="1:370" x14ac:dyDescent="0.25">
      <c r="A7" s="70">
        <v>1</v>
      </c>
      <c r="B7" s="9"/>
      <c r="C7" s="14"/>
      <c r="D7" s="14"/>
      <c r="E7" s="9"/>
      <c r="F7" s="14"/>
      <c r="G7" s="14"/>
      <c r="H7" s="9"/>
      <c r="I7" s="14"/>
      <c r="J7" s="14"/>
      <c r="K7" s="9"/>
      <c r="L7" s="14"/>
      <c r="M7" s="14"/>
      <c r="N7" s="9"/>
      <c r="O7" s="14"/>
      <c r="P7" s="14"/>
      <c r="Q7" s="9"/>
      <c r="R7" s="14"/>
      <c r="S7" s="14"/>
      <c r="T7" s="9"/>
      <c r="U7" s="14"/>
      <c r="V7" s="14"/>
      <c r="W7" s="9"/>
      <c r="X7" s="14"/>
      <c r="Y7" s="14"/>
      <c r="Z7" s="9"/>
      <c r="AA7" s="14"/>
      <c r="AB7" s="14"/>
      <c r="AC7" s="9"/>
      <c r="AD7" s="14"/>
      <c r="AE7" s="14"/>
    </row>
    <row r="8" spans="1:370" x14ac:dyDescent="0.25">
      <c r="B8" s="24" t="s">
        <v>803</v>
      </c>
      <c r="C8" s="25" t="str">
        <f>IF($A$7 &gt;=(COLUMNS($B:C)+1)/3,"active","deactive")</f>
        <v>active</v>
      </c>
      <c r="D8" s="66"/>
      <c r="E8" s="24" t="s">
        <v>803</v>
      </c>
      <c r="F8" s="25" t="str">
        <f>IF($A$7 &gt;=(COLUMNS($B:F)+1)/3,"active","deactive")</f>
        <v>deactive</v>
      </c>
      <c r="G8" s="66"/>
      <c r="H8" s="24" t="s">
        <v>803</v>
      </c>
      <c r="I8" s="25" t="str">
        <f>IF($A$7 &gt;=(COLUMNS($B:I)+1)/3,"active","deactive")</f>
        <v>deactive</v>
      </c>
      <c r="J8" s="66"/>
      <c r="K8" s="24" t="s">
        <v>803</v>
      </c>
      <c r="L8" s="25" t="str">
        <f>IF($A$7 &gt;=(COLUMNS($B:L)+1)/3,"active","deactive")</f>
        <v>deactive</v>
      </c>
      <c r="M8" s="66"/>
      <c r="N8" s="24" t="s">
        <v>803</v>
      </c>
      <c r="O8" s="25" t="str">
        <f>IF($A$7 &gt;=(COLUMNS($B:O)+1)/3,"active","deactive")</f>
        <v>deactive</v>
      </c>
      <c r="P8" s="66"/>
      <c r="Q8" s="24" t="s">
        <v>803</v>
      </c>
      <c r="R8" s="25" t="str">
        <f>IF($A$7 &gt;=(COLUMNS($B:R)+1)/3,"active","deactive")</f>
        <v>deactive</v>
      </c>
      <c r="S8" s="66"/>
      <c r="T8" s="24" t="s">
        <v>803</v>
      </c>
      <c r="U8" s="25" t="str">
        <f>IF($A$7 &gt;=(COLUMNS($B:U)+1)/3,"active","deactive")</f>
        <v>deactive</v>
      </c>
      <c r="V8" s="66"/>
      <c r="W8" s="24" t="s">
        <v>803</v>
      </c>
      <c r="X8" s="25" t="str">
        <f>IF($A$7 &gt;=(COLUMNS($B:X)+1)/3,"active","deactive")</f>
        <v>deactive</v>
      </c>
      <c r="Y8" s="66"/>
      <c r="Z8" s="24" t="s">
        <v>803</v>
      </c>
      <c r="AA8" s="25" t="str">
        <f>IF($A$7 &gt;=(COLUMNS($B:AA)+1)/3,"active","deactive")</f>
        <v>deactive</v>
      </c>
      <c r="AB8" s="66"/>
      <c r="AC8" s="24" t="s">
        <v>803</v>
      </c>
      <c r="AD8" s="25" t="str">
        <f>IF($A$7 &gt;=(COLUMNS($B:AD)+1)/3,"active","deactive")</f>
        <v>deactive</v>
      </c>
      <c r="AE8" s="66"/>
    </row>
    <row r="9" spans="1:370" x14ac:dyDescent="0.25">
      <c r="B9" s="10" t="s">
        <v>160</v>
      </c>
      <c r="C9" s="34" t="str">
        <f>IF(ISBLANK(D9), "pig",D9)</f>
        <v>cattle</v>
      </c>
      <c r="D9" s="60" t="s">
        <v>127</v>
      </c>
      <c r="E9" s="10" t="s">
        <v>160</v>
      </c>
      <c r="F9" s="34" t="str">
        <f>IF(ISBLANK(G9), "pig",G9)</f>
        <v>pig</v>
      </c>
      <c r="G9" s="60" t="s">
        <v>126</v>
      </c>
      <c r="H9" s="10" t="s">
        <v>160</v>
      </c>
      <c r="I9" s="34" t="str">
        <f>IF(ISBLANK(J9), "pig",J9)</f>
        <v>pig</v>
      </c>
      <c r="J9" s="60" t="s">
        <v>126</v>
      </c>
      <c r="K9" s="10" t="s">
        <v>160</v>
      </c>
      <c r="L9" s="34" t="str">
        <f>IF(ISBLANK(M9), "pig",M9)</f>
        <v>pig</v>
      </c>
      <c r="M9" s="60" t="s">
        <v>126</v>
      </c>
      <c r="N9" s="10" t="s">
        <v>160</v>
      </c>
      <c r="O9" s="34" t="str">
        <f>IF(ISBLANK(P9), "pig",P9)</f>
        <v>pig</v>
      </c>
      <c r="P9" s="60" t="s">
        <v>126</v>
      </c>
      <c r="Q9" s="10" t="s">
        <v>160</v>
      </c>
      <c r="R9" s="34" t="str">
        <f>IF(ISBLANK(S9), "pig",S9)</f>
        <v>pig</v>
      </c>
      <c r="S9" s="60" t="s">
        <v>126</v>
      </c>
      <c r="T9" s="10" t="s">
        <v>160</v>
      </c>
      <c r="U9" s="34" t="str">
        <f>IF(ISBLANK(V9), "pig",V9)</f>
        <v>pig</v>
      </c>
      <c r="V9" s="60" t="s">
        <v>126</v>
      </c>
      <c r="W9" s="10" t="s">
        <v>160</v>
      </c>
      <c r="X9" s="34" t="str">
        <f>IF(ISBLANK(Y9), "pig",Y9)</f>
        <v>pig</v>
      </c>
      <c r="Y9" s="60" t="s">
        <v>126</v>
      </c>
      <c r="Z9" s="10" t="s">
        <v>160</v>
      </c>
      <c r="AA9" s="34" t="str">
        <f>IF(ISBLANK(AB9), "pig",AB9)</f>
        <v>pig</v>
      </c>
      <c r="AB9" s="60" t="s">
        <v>126</v>
      </c>
      <c r="AC9" s="10" t="s">
        <v>160</v>
      </c>
      <c r="AD9" s="34" t="str">
        <f>IF(ISBLANK(AE9), "pig",AE9)</f>
        <v>pig</v>
      </c>
      <c r="AE9" s="60" t="s">
        <v>126</v>
      </c>
    </row>
    <row r="10" spans="1:370" x14ac:dyDescent="0.25">
      <c r="B10" s="10" t="s">
        <v>161</v>
      </c>
      <c r="C10" s="34" t="str">
        <f>IF(ISBLANK(D10), "finisher",D10)</f>
        <v>cattle, tung race</v>
      </c>
      <c r="D10" s="60" t="s">
        <v>59</v>
      </c>
      <c r="E10" s="10" t="s">
        <v>161</v>
      </c>
      <c r="F10" s="34" t="str">
        <f>IF(ISBLANK(G10), "finisher",G10)</f>
        <v>finisher</v>
      </c>
      <c r="G10" s="60" t="s">
        <v>53</v>
      </c>
      <c r="H10" s="10" t="s">
        <v>161</v>
      </c>
      <c r="I10" s="34" t="str">
        <f>IF(ISBLANK(J10), "finisher",J10)</f>
        <v>finisher</v>
      </c>
      <c r="J10" s="60" t="s">
        <v>53</v>
      </c>
      <c r="K10" s="10" t="s">
        <v>161</v>
      </c>
      <c r="L10" s="34" t="str">
        <f>IF(ISBLANK(M10), "finisher",M10)</f>
        <v>finisher</v>
      </c>
      <c r="M10" s="60" t="s">
        <v>53</v>
      </c>
      <c r="N10" s="10" t="s">
        <v>161</v>
      </c>
      <c r="O10" s="34" t="str">
        <f>IF(ISBLANK(P10), "finisher",P10)</f>
        <v>finisher</v>
      </c>
      <c r="P10" s="60" t="s">
        <v>53</v>
      </c>
      <c r="Q10" s="10" t="s">
        <v>161</v>
      </c>
      <c r="R10" s="34" t="str">
        <f>IF(ISBLANK(S10), "finisher",S10)</f>
        <v>finisher</v>
      </c>
      <c r="S10" s="60" t="s">
        <v>53</v>
      </c>
      <c r="T10" s="10" t="s">
        <v>161</v>
      </c>
      <c r="U10" s="34" t="str">
        <f>IF(ISBLANK(V10), "finisher",V10)</f>
        <v>finisher</v>
      </c>
      <c r="V10" s="60" t="s">
        <v>53</v>
      </c>
      <c r="W10" s="10" t="s">
        <v>161</v>
      </c>
      <c r="X10" s="34" t="str">
        <f>IF(ISBLANK(Y10), "finisher",Y10)</f>
        <v>finisher</v>
      </c>
      <c r="Y10" s="60" t="s">
        <v>53</v>
      </c>
      <c r="Z10" s="10" t="s">
        <v>161</v>
      </c>
      <c r="AA10" s="34" t="str">
        <f>IF(ISBLANK(AB10), "finisher",AB10)</f>
        <v>finisher</v>
      </c>
      <c r="AB10" s="60" t="s">
        <v>53</v>
      </c>
      <c r="AC10" s="10" t="s">
        <v>161</v>
      </c>
      <c r="AD10" s="34" t="str">
        <f>IF(ISBLANK(AE10), "finisher",AE10)</f>
        <v>finisher</v>
      </c>
      <c r="AE10" s="60" t="s">
        <v>53</v>
      </c>
    </row>
    <row r="11" spans="1:370" ht="17.25" x14ac:dyDescent="0.25">
      <c r="B11" s="12" t="s">
        <v>162</v>
      </c>
      <c r="C11" s="37">
        <v>210</v>
      </c>
      <c r="D11" s="60"/>
      <c r="E11" s="12" t="s">
        <v>162</v>
      </c>
      <c r="F11" s="37">
        <f>IF(COUNT(G11)=1,G11,5000)</f>
        <v>2500</v>
      </c>
      <c r="G11" s="60">
        <v>2500</v>
      </c>
      <c r="H11" s="12" t="s">
        <v>162</v>
      </c>
      <c r="I11" s="37">
        <f>IF(COUNT(J11)=1,J11,5000)</f>
        <v>2500</v>
      </c>
      <c r="J11" s="60">
        <v>2500</v>
      </c>
      <c r="K11" s="12" t="s">
        <v>162</v>
      </c>
      <c r="L11" s="37">
        <f>IF(COUNT(M11)=1,M11,5000)</f>
        <v>2500</v>
      </c>
      <c r="M11" s="60">
        <v>2500</v>
      </c>
      <c r="N11" s="12" t="s">
        <v>162</v>
      </c>
      <c r="O11" s="37">
        <f>IF(COUNT(P11)=1,P11,5000)</f>
        <v>2500</v>
      </c>
      <c r="P11" s="60">
        <v>2500</v>
      </c>
      <c r="Q11" s="12" t="s">
        <v>162</v>
      </c>
      <c r="R11" s="37">
        <f>IF(COUNT(S11)=1,S11,5000)</f>
        <v>2500</v>
      </c>
      <c r="S11" s="60">
        <v>2500</v>
      </c>
      <c r="T11" s="12" t="s">
        <v>162</v>
      </c>
      <c r="U11" s="37">
        <f>IF(COUNT(V11)=1,V11,5000)</f>
        <v>2500</v>
      </c>
      <c r="V11" s="60">
        <v>2500</v>
      </c>
      <c r="W11" s="12" t="s">
        <v>162</v>
      </c>
      <c r="X11" s="37">
        <f>IF(COUNT(Y11)=1,Y11,5000)</f>
        <v>2500</v>
      </c>
      <c r="Y11" s="60">
        <v>2500</v>
      </c>
      <c r="Z11" s="12" t="s">
        <v>162</v>
      </c>
      <c r="AA11" s="37">
        <f>IF(COUNT(AB11)=1,AB11,5000)</f>
        <v>2500</v>
      </c>
      <c r="AB11" s="60">
        <v>2500</v>
      </c>
      <c r="AC11" s="12" t="s">
        <v>162</v>
      </c>
      <c r="AD11" s="37">
        <f>IF(COUNT(AE11)=1,AE11,5000)</f>
        <v>2500</v>
      </c>
      <c r="AE11" s="60">
        <v>2500</v>
      </c>
    </row>
    <row r="12" spans="1:370" ht="16.5" customHeight="1" x14ac:dyDescent="0.25">
      <c r="B12" s="10" t="s">
        <v>163</v>
      </c>
      <c r="C12" s="34" t="str">
        <f>IF(ISBLANK(D12), "finisher, drained + slatted floor (33/67)",D12)</f>
        <v>cubicle + slatted floor, ring channel</v>
      </c>
      <c r="D12" s="60" t="s">
        <v>25</v>
      </c>
      <c r="E12" s="10" t="s">
        <v>163</v>
      </c>
      <c r="F12" s="34" t="str">
        <f>IF(ISBLANK(G12), "finisher, drained + slatted floor (33/67)",G12)</f>
        <v>finisher, drained + slatted floor (33/67)</v>
      </c>
      <c r="G12" s="60" t="s">
        <v>8</v>
      </c>
      <c r="H12" s="10" t="s">
        <v>163</v>
      </c>
      <c r="I12" s="34" t="str">
        <f>IF(ISBLANK(J12), "finisher, drained + slatted floor (33/67)",J12)</f>
        <v>finisher, drained + slatted floor (33/67)</v>
      </c>
      <c r="J12" s="60" t="s">
        <v>8</v>
      </c>
      <c r="K12" s="10" t="s">
        <v>163</v>
      </c>
      <c r="L12" s="34" t="str">
        <f>IF(ISBLANK(M12), "finisher, drained + slatted floor (33/67)",M12)</f>
        <v>finisher, drained + slatted floor (33/67)</v>
      </c>
      <c r="M12" s="60" t="s">
        <v>8</v>
      </c>
      <c r="N12" s="10" t="s">
        <v>163</v>
      </c>
      <c r="O12" s="34" t="str">
        <f>IF(ISBLANK(P12), "finisher, drained + slatted floor (33/67)",P12)</f>
        <v>finisher, drained + slatted floor (33/67)</v>
      </c>
      <c r="P12" s="60" t="s">
        <v>8</v>
      </c>
      <c r="Q12" s="10" t="s">
        <v>163</v>
      </c>
      <c r="R12" s="34" t="str">
        <f>IF(ISBLANK(S12), "finisher, drained + slatted floor (33/67)",S12)</f>
        <v>finisher, drained + slatted floor (33/67)</v>
      </c>
      <c r="S12" s="60" t="s">
        <v>8</v>
      </c>
      <c r="T12" s="10" t="s">
        <v>163</v>
      </c>
      <c r="U12" s="34" t="str">
        <f>IF(ISBLANK(V12), "finisher, drained + slatted floor (33/67)",V12)</f>
        <v>finisher, drained + slatted floor (33/67)</v>
      </c>
      <c r="V12" s="60" t="s">
        <v>8</v>
      </c>
      <c r="W12" s="10" t="s">
        <v>163</v>
      </c>
      <c r="X12" s="34" t="str">
        <f>IF(ISBLANK(Y12), "finisher, drained + slatted floor (33/67)",Y12)</f>
        <v>finisher, drained + slatted floor (33/67)</v>
      </c>
      <c r="Y12" s="60" t="s">
        <v>8</v>
      </c>
      <c r="Z12" s="10" t="s">
        <v>163</v>
      </c>
      <c r="AA12" s="34" t="str">
        <f>IF(ISBLANK(AB12), "finisher, drained + slatted floor (33/67)",AB12)</f>
        <v>finisher, drained + slatted floor (33/67)</v>
      </c>
      <c r="AB12" s="60" t="s">
        <v>8</v>
      </c>
      <c r="AC12" s="10" t="s">
        <v>163</v>
      </c>
      <c r="AD12" s="34" t="str">
        <f>IF(ISBLANK(AE12), "finisher, drained + slatted floor (33/67)",AE12)</f>
        <v>finisher, drained + slatted floor (33/67)</v>
      </c>
      <c r="AE12" s="60" t="s">
        <v>8</v>
      </c>
    </row>
    <row r="13" spans="1:370" x14ac:dyDescent="0.25">
      <c r="B13" s="10" t="s">
        <v>164</v>
      </c>
      <c r="C13" s="34" t="str">
        <f>IF(ISBLANK(D13), "vacuum flushing",D13)</f>
        <v>vacuum flushing</v>
      </c>
      <c r="D13" s="60" t="s">
        <v>1</v>
      </c>
      <c r="E13" s="10" t="s">
        <v>164</v>
      </c>
      <c r="F13" s="34" t="str">
        <f>IF(ISBLANK(G13), "vacuum flushing",G13)</f>
        <v>vacuum flushing</v>
      </c>
      <c r="G13" s="60" t="s">
        <v>1</v>
      </c>
      <c r="H13" s="10" t="s">
        <v>164</v>
      </c>
      <c r="I13" s="34" t="str">
        <f>IF(ISBLANK(J13), "vacuum flushing",J13)</f>
        <v>vacuum flushing</v>
      </c>
      <c r="J13" s="60" t="s">
        <v>1</v>
      </c>
      <c r="K13" s="10" t="s">
        <v>164</v>
      </c>
      <c r="L13" s="34" t="str">
        <f>IF(ISBLANK(M13), "vacuum flushing",M13)</f>
        <v>vacuum flushing</v>
      </c>
      <c r="M13" s="60" t="s">
        <v>1</v>
      </c>
      <c r="N13" s="10" t="s">
        <v>164</v>
      </c>
      <c r="O13" s="34" t="str">
        <f>IF(ISBLANK(P13), "vacuum flushing",P13)</f>
        <v>vacuum flushing</v>
      </c>
      <c r="P13" s="60" t="s">
        <v>1</v>
      </c>
      <c r="Q13" s="10" t="s">
        <v>164</v>
      </c>
      <c r="R13" s="34" t="str">
        <f>IF(ISBLANK(S13), "vacuum flushing",S13)</f>
        <v>vacuum flushing</v>
      </c>
      <c r="S13" s="60" t="s">
        <v>1</v>
      </c>
      <c r="T13" s="10" t="s">
        <v>164</v>
      </c>
      <c r="U13" s="34" t="str">
        <f>IF(ISBLANK(V13), "vacuum flushing",V13)</f>
        <v>vacuum flushing</v>
      </c>
      <c r="V13" s="60" t="s">
        <v>1</v>
      </c>
      <c r="W13" s="10" t="s">
        <v>164</v>
      </c>
      <c r="X13" s="34" t="str">
        <f>IF(ISBLANK(Y13), "vacuum flushing",Y13)</f>
        <v>vacuum flushing</v>
      </c>
      <c r="Y13" s="60" t="s">
        <v>1</v>
      </c>
      <c r="Z13" s="10" t="s">
        <v>164</v>
      </c>
      <c r="AA13" s="34" t="str">
        <f>IF(ISBLANK(AB13), "vacuum flushing",AB13)</f>
        <v>vacuum flushing</v>
      </c>
      <c r="AB13" s="60" t="s">
        <v>1</v>
      </c>
      <c r="AC13" s="10" t="s">
        <v>164</v>
      </c>
      <c r="AD13" s="34" t="str">
        <f>IF(ISBLANK(AE13), "vacuum flushing",AE13)</f>
        <v>vacuum flushing</v>
      </c>
      <c r="AE13" s="60" t="s">
        <v>1</v>
      </c>
    </row>
    <row r="14" spans="1:370" x14ac:dyDescent="0.25">
      <c r="B14" s="10" t="s">
        <v>165</v>
      </c>
      <c r="C14" s="34" t="str">
        <f>IF(ISBLANK(D14), "yes",D14)</f>
        <v>yes</v>
      </c>
      <c r="D14" s="61" t="s">
        <v>166</v>
      </c>
      <c r="E14" s="10" t="s">
        <v>165</v>
      </c>
      <c r="F14" s="34" t="str">
        <f>IF(ISBLANK(G14), "yes",G14)</f>
        <v>yes</v>
      </c>
      <c r="G14" s="61" t="s">
        <v>166</v>
      </c>
      <c r="H14" s="10" t="s">
        <v>165</v>
      </c>
      <c r="I14" s="34" t="str">
        <f>IF(ISBLANK(J14), "yes",J14)</f>
        <v>yes</v>
      </c>
      <c r="J14" s="61" t="s">
        <v>166</v>
      </c>
      <c r="K14" s="10" t="s">
        <v>165</v>
      </c>
      <c r="L14" s="34" t="str">
        <f>IF(ISBLANK(M14), "yes",M14)</f>
        <v>yes</v>
      </c>
      <c r="M14" s="61" t="s">
        <v>166</v>
      </c>
      <c r="N14" s="10" t="s">
        <v>165</v>
      </c>
      <c r="O14" s="34" t="str">
        <f>IF(ISBLANK(P14), "yes",P14)</f>
        <v>yes</v>
      </c>
      <c r="P14" s="61" t="s">
        <v>166</v>
      </c>
      <c r="Q14" s="10" t="s">
        <v>165</v>
      </c>
      <c r="R14" s="34" t="str">
        <f>IF(ISBLANK(S14), "yes",S14)</f>
        <v>yes</v>
      </c>
      <c r="S14" s="61" t="s">
        <v>166</v>
      </c>
      <c r="T14" s="10" t="s">
        <v>165</v>
      </c>
      <c r="U14" s="34" t="str">
        <f>IF(ISBLANK(V14), "yes",V14)</f>
        <v>yes</v>
      </c>
      <c r="V14" s="61" t="s">
        <v>166</v>
      </c>
      <c r="W14" s="10" t="s">
        <v>165</v>
      </c>
      <c r="X14" s="34" t="str">
        <f>IF(ISBLANK(Y14), "yes",Y14)</f>
        <v>yes</v>
      </c>
      <c r="Y14" s="61" t="s">
        <v>166</v>
      </c>
      <c r="Z14" s="10" t="s">
        <v>165</v>
      </c>
      <c r="AA14" s="34" t="str">
        <f>IF(ISBLANK(AB14), "yes",AB14)</f>
        <v>yes</v>
      </c>
      <c r="AB14" s="61" t="s">
        <v>166</v>
      </c>
      <c r="AC14" s="10" t="s">
        <v>165</v>
      </c>
      <c r="AD14" s="34" t="str">
        <f>IF(ISBLANK(AE14), "yes",AE14)</f>
        <v>yes</v>
      </c>
      <c r="AE14" s="61" t="s">
        <v>166</v>
      </c>
    </row>
    <row r="15" spans="1:370" x14ac:dyDescent="0.25">
      <c r="B15" s="9"/>
      <c r="C15" s="15"/>
      <c r="D15" s="15"/>
      <c r="E15" s="9"/>
      <c r="F15" s="15"/>
      <c r="G15" s="15"/>
      <c r="H15" s="9"/>
      <c r="I15" s="15"/>
      <c r="J15" s="15"/>
      <c r="K15" s="9"/>
      <c r="L15" s="15"/>
      <c r="M15" s="15"/>
      <c r="N15" s="9"/>
      <c r="O15" s="15"/>
      <c r="P15" s="15"/>
      <c r="Q15" s="9"/>
      <c r="R15" s="15"/>
      <c r="S15" s="15"/>
      <c r="T15" s="9"/>
      <c r="U15" s="15"/>
      <c r="V15" s="15"/>
      <c r="W15" s="9"/>
      <c r="X15" s="15"/>
      <c r="Y15" s="15"/>
      <c r="Z15" s="9"/>
      <c r="AA15" s="15"/>
      <c r="AB15" s="15"/>
      <c r="AC15" s="9"/>
      <c r="AD15" s="15"/>
      <c r="AE15" s="15"/>
    </row>
    <row r="16" spans="1:370" x14ac:dyDescent="0.25">
      <c r="B16" s="24" t="s">
        <v>7</v>
      </c>
      <c r="C16" s="21"/>
      <c r="D16" s="59"/>
      <c r="E16" s="24" t="s">
        <v>7</v>
      </c>
      <c r="F16" s="21"/>
      <c r="G16" s="59"/>
      <c r="H16" s="24" t="s">
        <v>7</v>
      </c>
      <c r="I16" s="21"/>
      <c r="J16" s="59"/>
      <c r="K16" s="24" t="s">
        <v>7</v>
      </c>
      <c r="L16" s="21"/>
      <c r="M16" s="59"/>
      <c r="N16" s="24" t="s">
        <v>7</v>
      </c>
      <c r="O16" s="21"/>
      <c r="P16" s="59"/>
      <c r="Q16" s="24" t="s">
        <v>7</v>
      </c>
      <c r="R16" s="21"/>
      <c r="S16" s="59"/>
      <c r="T16" s="24" t="s">
        <v>7</v>
      </c>
      <c r="U16" s="21"/>
      <c r="V16" s="59"/>
      <c r="W16" s="24" t="s">
        <v>7</v>
      </c>
      <c r="X16" s="21"/>
      <c r="Y16" s="59"/>
      <c r="Z16" s="24" t="s">
        <v>7</v>
      </c>
      <c r="AA16" s="21"/>
      <c r="AB16" s="59"/>
      <c r="AC16" s="24" t="s">
        <v>7</v>
      </c>
      <c r="AD16" s="21"/>
      <c r="AE16" s="59"/>
    </row>
    <row r="17" spans="2:31" x14ac:dyDescent="0.25">
      <c r="B17" s="11" t="s">
        <v>35</v>
      </c>
      <c r="C17" s="21" t="str">
        <f>HLOOKUP(C12,defaults!$B5:$AB18,MATCH(B17,defaults!$A5:$A18,0),FALSE)</f>
        <v>natural</v>
      </c>
      <c r="D17" s="60"/>
      <c r="E17" s="11" t="s">
        <v>35</v>
      </c>
      <c r="F17" s="21" t="str">
        <f>HLOOKUP(F12,defaults!$B5:$AB18,MATCH(E17,defaults!$A5:$A18,0),FALSE)</f>
        <v>mechanical</v>
      </c>
      <c r="G17" s="60"/>
      <c r="H17" s="11" t="s">
        <v>35</v>
      </c>
      <c r="I17" s="21" t="str">
        <f>HLOOKUP(I12,defaults!$B5:$AB18,MATCH(H17,defaults!$A5:$A18,0),FALSE)</f>
        <v>mechanical</v>
      </c>
      <c r="J17" s="60"/>
      <c r="K17" s="11" t="s">
        <v>35</v>
      </c>
      <c r="L17" s="21" t="str">
        <f>HLOOKUP(L12,defaults!$B5:$AB18,MATCH(K17,defaults!$A5:$A18,0),FALSE)</f>
        <v>mechanical</v>
      </c>
      <c r="M17" s="60"/>
      <c r="N17" s="11" t="s">
        <v>35</v>
      </c>
      <c r="O17" s="21" t="str">
        <f>HLOOKUP(O12,defaults!$B5:$AB18,MATCH(N17,defaults!$A5:$A18,0),FALSE)</f>
        <v>mechanical</v>
      </c>
      <c r="P17" s="60"/>
      <c r="Q17" s="11" t="s">
        <v>35</v>
      </c>
      <c r="R17" s="21" t="str">
        <f>HLOOKUP(R12,defaults!$B5:$AB18,MATCH(Q17,defaults!$A5:$A18,0),FALSE)</f>
        <v>mechanical</v>
      </c>
      <c r="S17" s="60"/>
      <c r="T17" s="11" t="s">
        <v>35</v>
      </c>
      <c r="U17" s="21" t="str">
        <f>HLOOKUP(U12,defaults!$B5:$AB18,MATCH(T17,defaults!$A5:$A18,0),FALSE)</f>
        <v>mechanical</v>
      </c>
      <c r="V17" s="60"/>
      <c r="W17" s="11" t="s">
        <v>35</v>
      </c>
      <c r="X17" s="21" t="str">
        <f>HLOOKUP(X12,defaults!$B5:$AB18,MATCH(W17,defaults!$A5:$A18,0),FALSE)</f>
        <v>mechanical</v>
      </c>
      <c r="Y17" s="60"/>
      <c r="Z17" s="11" t="s">
        <v>35</v>
      </c>
      <c r="AA17" s="21" t="str">
        <f>HLOOKUP(AA12,defaults!$B5:$AB18,MATCH(Z17,defaults!$A5:$A18,0),FALSE)</f>
        <v>mechanical</v>
      </c>
      <c r="AB17" s="60"/>
      <c r="AC17" s="11" t="s">
        <v>35</v>
      </c>
      <c r="AD17" s="21" t="str">
        <f>HLOOKUP(AD12,defaults!$B5:$AB18,MATCH(AC17,defaults!$A5:$A18,0),FALSE)</f>
        <v>mechanical</v>
      </c>
      <c r="AE17" s="60"/>
    </row>
    <row r="18" spans="2:31" ht="16.5" customHeight="1" x14ac:dyDescent="0.25">
      <c r="B18" s="12" t="s">
        <v>39</v>
      </c>
      <c r="C18" s="22" t="str">
        <f>IF(COUNT(D18)=1,D18,IF(C17 = "natural","variable",HLOOKUP(C12,defaults!$B5:$AB18,MATCH(B18,defaults!$A5:$A18,0),FALSE)))</f>
        <v>variable</v>
      </c>
      <c r="D18" s="60"/>
      <c r="E18" s="12" t="s">
        <v>39</v>
      </c>
      <c r="F18" s="22">
        <f>IF(COUNT(G18)=1,G18,IF(F17 = "natural","variable",HLOOKUP(F12,defaults!$B5:$AB18,MATCH(E18,defaults!$A5:$A18,0),FALSE)))</f>
        <v>18.600000000000001</v>
      </c>
      <c r="G18" s="60"/>
      <c r="H18" s="12" t="s">
        <v>39</v>
      </c>
      <c r="I18" s="22">
        <f>IF(COUNT(J18)=1,J18,IF(I17 = "natural","variable",HLOOKUP(I12,defaults!$B5:$AB18,MATCH(H18,defaults!$A5:$A18,0),FALSE)))</f>
        <v>18.600000000000001</v>
      </c>
      <c r="J18" s="60"/>
      <c r="K18" s="12" t="s">
        <v>39</v>
      </c>
      <c r="L18" s="22">
        <f>IF(COUNT(M18)=1,M18,IF(L17 = "natural","variable",HLOOKUP(L12,defaults!$B5:$AB18,MATCH(K18,defaults!$A5:$A18,0),FALSE)))</f>
        <v>18.600000000000001</v>
      </c>
      <c r="M18" s="60"/>
      <c r="N18" s="12" t="s">
        <v>39</v>
      </c>
      <c r="O18" s="22">
        <f>IF(COUNT(P18)=1,P18,IF(O17 = "natural","variable",HLOOKUP(O12,defaults!$B5:$AB18,MATCH(N18,defaults!$A5:$A18,0),FALSE)))</f>
        <v>18.600000000000001</v>
      </c>
      <c r="P18" s="60"/>
      <c r="Q18" s="12" t="s">
        <v>39</v>
      </c>
      <c r="R18" s="22">
        <f>IF(COUNT(S18)=1,S18,IF(R17 = "natural","variable",HLOOKUP(R12,defaults!$B5:$AB18,MATCH(Q18,defaults!$A5:$A18,0),FALSE)))</f>
        <v>18.600000000000001</v>
      </c>
      <c r="S18" s="60"/>
      <c r="T18" s="12" t="s">
        <v>39</v>
      </c>
      <c r="U18" s="22">
        <f>IF(COUNT(V18)=1,V18,IF(U17 = "natural","variable",HLOOKUP(U12,defaults!$B5:$AB18,MATCH(T18,defaults!$A5:$A18,0),FALSE)))</f>
        <v>18.600000000000001</v>
      </c>
      <c r="V18" s="60"/>
      <c r="W18" s="12" t="s">
        <v>39</v>
      </c>
      <c r="X18" s="22">
        <f>IF(COUNT(Y18)=1,Y18,IF(X17 = "natural","variable",HLOOKUP(X12,defaults!$B5:$AB18,MATCH(W18,defaults!$A5:$A18,0),FALSE)))</f>
        <v>18.600000000000001</v>
      </c>
      <c r="Y18" s="60"/>
      <c r="Z18" s="12" t="s">
        <v>39</v>
      </c>
      <c r="AA18" s="22">
        <f>IF(COUNT(AB18)=1,AB18,IF(AA17 = "natural","variable",HLOOKUP(AA12,defaults!$B5:$AB18,MATCH(Z18,defaults!$A5:$A18,0),FALSE)))</f>
        <v>18.600000000000001</v>
      </c>
      <c r="AB18" s="60"/>
      <c r="AC18" s="12" t="s">
        <v>39</v>
      </c>
      <c r="AD18" s="22">
        <f>IF(COUNT(AE18)=1,AE18,IF(AD17 = "natural","variable",HLOOKUP(AD12,defaults!$B5:$AB18,MATCH(AC18,defaults!$A5:$A18,0),FALSE)))</f>
        <v>18.600000000000001</v>
      </c>
      <c r="AE18" s="60"/>
    </row>
    <row r="19" spans="2:31" x14ac:dyDescent="0.25">
      <c r="B19" s="12" t="s">
        <v>40</v>
      </c>
      <c r="C19" s="22">
        <f>IF(COUNT(D19) =1,D19,HLOOKUP(C12,defaults!$B5:$AB18,MATCH(B19,defaults!$A5:$A18,0),FALSE))</f>
        <v>120</v>
      </c>
      <c r="D19" s="60"/>
      <c r="E19" s="12" t="s">
        <v>40</v>
      </c>
      <c r="F19" s="22">
        <f>IF(COUNT(G19) =1,G19,HLOOKUP(F12,defaults!$B5:$AB18,MATCH(E19,defaults!$A5:$A18,0),FALSE))</f>
        <v>60</v>
      </c>
      <c r="G19" s="60"/>
      <c r="H19" s="12" t="s">
        <v>40</v>
      </c>
      <c r="I19" s="22">
        <f>IF(COUNT(J19) =1,J19,HLOOKUP(I12,defaults!$B5:$AB18,MATCH(H19,defaults!$A5:$A18,0),FALSE))</f>
        <v>60</v>
      </c>
      <c r="J19" s="60"/>
      <c r="K19" s="12" t="s">
        <v>40</v>
      </c>
      <c r="L19" s="22">
        <f>IF(COUNT(M19) =1,M19,HLOOKUP(L12,defaults!$B5:$AB18,MATCH(K19,defaults!$A5:$A18,0),FALSE))</f>
        <v>60</v>
      </c>
      <c r="M19" s="60"/>
      <c r="N19" s="12" t="s">
        <v>40</v>
      </c>
      <c r="O19" s="22">
        <f>IF(COUNT(P19) =1,P19,HLOOKUP(O12,defaults!$B5:$AB18,MATCH(N19,defaults!$A5:$A18,0),FALSE))</f>
        <v>60</v>
      </c>
      <c r="P19" s="60"/>
      <c r="Q19" s="12" t="s">
        <v>40</v>
      </c>
      <c r="R19" s="22">
        <f>IF(COUNT(S19) =1,S19,HLOOKUP(R12,defaults!$B5:$AB18,MATCH(Q19,defaults!$A5:$A18,0),FALSE))</f>
        <v>60</v>
      </c>
      <c r="S19" s="60"/>
      <c r="T19" s="12" t="s">
        <v>40</v>
      </c>
      <c r="U19" s="22">
        <f>IF(COUNT(V19) =1,V19,HLOOKUP(U12,defaults!$B5:$AB18,MATCH(T19,defaults!$A5:$A18,0),FALSE))</f>
        <v>60</v>
      </c>
      <c r="V19" s="60"/>
      <c r="W19" s="12" t="s">
        <v>40</v>
      </c>
      <c r="X19" s="22">
        <f>IF(COUNT(Y19) =1,Y19,HLOOKUP(X12,defaults!$B5:$AB18,MATCH(W19,defaults!$A5:$A18,0),FALSE))</f>
        <v>60</v>
      </c>
      <c r="Y19" s="60"/>
      <c r="Z19" s="12" t="s">
        <v>40</v>
      </c>
      <c r="AA19" s="22">
        <f>IF(COUNT(AB19) =1,AB19,HLOOKUP(AA12,defaults!$B5:$AB18,MATCH(Z19,defaults!$A5:$A18,0),FALSE))</f>
        <v>60</v>
      </c>
      <c r="AB19" s="60"/>
      <c r="AC19" s="12" t="s">
        <v>40</v>
      </c>
      <c r="AD19" s="22">
        <f>IF(COUNT(AE19) =1,AE19,HLOOKUP(AD12,defaults!$B5:$AB18,MATCH(AC19,defaults!$A5:$A18,0),FALSE))</f>
        <v>60</v>
      </c>
      <c r="AE19" s="60"/>
    </row>
    <row r="20" spans="2:31" x14ac:dyDescent="0.25">
      <c r="B20" s="10" t="s">
        <v>6</v>
      </c>
      <c r="C20" s="22">
        <f>IF(COUNT(D20) = 1,D20,HLOOKUP(C12,defaults!$A$5:$AB$19,MATCH('in-barn'!B20,defaults!$A$5:$A$19,0),FALSE))</f>
        <v>23</v>
      </c>
      <c r="D20" s="60">
        <v>23</v>
      </c>
      <c r="E20" s="10" t="s">
        <v>6</v>
      </c>
      <c r="F20" s="22">
        <f>IF(COUNT(G20) = 1,G20,HLOOKUP(F12,defaults!$A$5:$AB$19,MATCH('in-barn'!E20,defaults!$A$5:$A$19,0),FALSE))</f>
        <v>29</v>
      </c>
      <c r="G20" s="60"/>
      <c r="H20" s="10" t="s">
        <v>6</v>
      </c>
      <c r="I20" s="22">
        <f>IF(COUNT(J20) = 1,J20,HLOOKUP(I12,defaults!$A$5:$AB$19,MATCH('in-barn'!H20,defaults!$A$5:$A$19,0),FALSE))</f>
        <v>29</v>
      </c>
      <c r="J20" s="60"/>
      <c r="K20" s="10" t="s">
        <v>6</v>
      </c>
      <c r="L20" s="22">
        <f>IF(COUNT(M20) = 1,M20,HLOOKUP(L12,defaults!$A$5:$AB$19,MATCH('in-barn'!K20,defaults!$A$5:$A$19,0),FALSE))</f>
        <v>29</v>
      </c>
      <c r="M20" s="60"/>
      <c r="N20" s="10" t="s">
        <v>6</v>
      </c>
      <c r="O20" s="22">
        <f>IF(COUNT(P20) = 1,P20,HLOOKUP(O12,defaults!$A$5:$AB$19,MATCH('in-barn'!N20,defaults!$A$5:$A$19,0),FALSE))</f>
        <v>29</v>
      </c>
      <c r="P20" s="60"/>
      <c r="Q20" s="10" t="s">
        <v>6</v>
      </c>
      <c r="R20" s="22">
        <f>IF(COUNT(S20) = 1,S20,HLOOKUP(R12,defaults!$A$5:$AB$19,MATCH('in-barn'!Q20,defaults!$A$5:$A$19,0),FALSE))</f>
        <v>29</v>
      </c>
      <c r="S20" s="60"/>
      <c r="T20" s="10" t="s">
        <v>6</v>
      </c>
      <c r="U20" s="22">
        <f>IF(COUNT(V20) = 1,V20,HLOOKUP(U12,defaults!$A$5:$AB$19,MATCH('in-barn'!T20,defaults!$A$5:$A$19,0),FALSE))</f>
        <v>29</v>
      </c>
      <c r="V20" s="60"/>
      <c r="W20" s="10" t="s">
        <v>6</v>
      </c>
      <c r="X20" s="22">
        <f>IF(COUNT(Y20) = 1,Y20,HLOOKUP(X12,defaults!$A$5:$AB$19,MATCH('in-barn'!W20,defaults!$A$5:$A$19,0),FALSE))</f>
        <v>29</v>
      </c>
      <c r="Y20" s="60"/>
      <c r="Z20" s="10" t="s">
        <v>6</v>
      </c>
      <c r="AA20" s="22">
        <f>IF(COUNT(AB20) = 1,AB20,HLOOKUP(AA12,defaults!$A$5:$AB$19,MATCH('in-barn'!Z20,defaults!$A$5:$A$19,0),FALSE))</f>
        <v>29</v>
      </c>
      <c r="AB20" s="60"/>
      <c r="AC20" s="10" t="s">
        <v>6</v>
      </c>
      <c r="AD20" s="22">
        <f>IF(COUNT(AE20) = 1,AE20,HLOOKUP(AD12,defaults!$A$5:$AB$19,MATCH('in-barn'!AC20,defaults!$A$5:$A$19,0),FALSE))</f>
        <v>29</v>
      </c>
      <c r="AE20" s="60"/>
    </row>
    <row r="21" spans="2:31" x14ac:dyDescent="0.25">
      <c r="B21" s="10" t="s">
        <v>5</v>
      </c>
      <c r="C21" s="33">
        <f>IF(COUNT(D21)=1,D21,IF(C9="pig",HLOOKUP(C13,defaults!$B1:$W2,MATCH(B21,defaults!$A1:$A3,0),FALSE),HLOOKUP(C12,defaults!$A$5:$AB$20,MATCH('in-barn'!B21,defaults!$A$5:$A$20,0),FALSE)))</f>
        <v>40</v>
      </c>
      <c r="D21" s="60"/>
      <c r="E21" s="10" t="s">
        <v>5</v>
      </c>
      <c r="F21" s="33">
        <f>IF(COUNT(G21)=1,G21,IF(F9="pig",HLOOKUP(F13,defaults!$B1:$W2,MATCH(E21,defaults!$A1:$A3,0),FALSE),HLOOKUP(F12,defaults!$A$5:$AB$20,MATCH('in-barn'!E21,defaults!$A$5:$A$20,0),FALSE)))</f>
        <v>5</v>
      </c>
      <c r="G21" s="60"/>
      <c r="H21" s="10" t="s">
        <v>5</v>
      </c>
      <c r="I21" s="33">
        <f>IF(COUNT(J21)=1,J21,IF(I9="pig",HLOOKUP(I13,defaults!$B1:$W2,MATCH(H21,defaults!$A1:$A3,0),FALSE),HLOOKUP(I12,defaults!$A$5:$AB$20,MATCH('in-barn'!H21,defaults!$A$5:$A$20,0),FALSE)))</f>
        <v>5</v>
      </c>
      <c r="J21" s="60"/>
      <c r="K21" s="10" t="s">
        <v>5</v>
      </c>
      <c r="L21" s="33">
        <f>IF(COUNT(M21)=1,M21,IF(L9="pig",HLOOKUP(L13,defaults!$B1:$W2,MATCH(K21,defaults!$A1:$A3,0),FALSE),HLOOKUP(L12,defaults!$A$5:$AB$20,MATCH('in-barn'!K21,defaults!$A$5:$A$20,0),FALSE)))</f>
        <v>5</v>
      </c>
      <c r="M21" s="60"/>
      <c r="N21" s="10" t="s">
        <v>5</v>
      </c>
      <c r="O21" s="33">
        <f>IF(COUNT(P21)=1,P21,IF(O9="pig",HLOOKUP(O13,defaults!$B1:$W2,MATCH(N21,defaults!$A1:$A3,0),FALSE),HLOOKUP(O12,defaults!$A$5:$AB$20,MATCH('in-barn'!N21,defaults!$A$5:$A$20,0),FALSE)))</f>
        <v>5</v>
      </c>
      <c r="P21" s="60"/>
      <c r="Q21" s="10" t="s">
        <v>5</v>
      </c>
      <c r="R21" s="33">
        <f>IF(COUNT(S21)=1,S21,IF(R9="pig",HLOOKUP(R13,defaults!$B1:$W2,MATCH(Q21,defaults!$A1:$A3,0),FALSE),HLOOKUP(R12,defaults!$A$5:$AB$20,MATCH('in-barn'!Q21,defaults!$A$5:$A$20,0),FALSE)))</f>
        <v>5</v>
      </c>
      <c r="S21" s="60"/>
      <c r="T21" s="10" t="s">
        <v>5</v>
      </c>
      <c r="U21" s="33">
        <f>IF(COUNT(V21)=1,V21,IF(U9="pig",HLOOKUP(U13,defaults!$B1:$W2,MATCH(T21,defaults!$A1:$A3,0),FALSE),HLOOKUP(U12,defaults!$A$5:$AB$20,MATCH('in-barn'!T21,defaults!$A$5:$A$20,0),FALSE)))</f>
        <v>5</v>
      </c>
      <c r="V21" s="60"/>
      <c r="W21" s="10" t="s">
        <v>5</v>
      </c>
      <c r="X21" s="33">
        <f>IF(COUNT(Y21)=1,Y21,IF(X9="pig",HLOOKUP(X13,defaults!$B1:$W2,MATCH(W21,defaults!$A1:$A3,0),FALSE),HLOOKUP(X12,defaults!$A$5:$AB$20,MATCH('in-barn'!W21,defaults!$A$5:$A$20,0),FALSE)))</f>
        <v>5</v>
      </c>
      <c r="Y21" s="60"/>
      <c r="Z21" s="10" t="s">
        <v>5</v>
      </c>
      <c r="AA21" s="33">
        <f>IF(COUNT(AB21)=1,AB21,IF(AA9="pig",HLOOKUP(AA13,defaults!$B1:$W2,MATCH(Z21,defaults!$A1:$A3,0),FALSE),HLOOKUP(AA12,defaults!$A$5:$AB$20,MATCH('in-barn'!Z21,defaults!$A$5:$A$20,0),FALSE)))</f>
        <v>5</v>
      </c>
      <c r="AB21" s="60"/>
      <c r="AC21" s="10" t="s">
        <v>5</v>
      </c>
      <c r="AD21" s="33">
        <f>IF(COUNT(AE21)=1,AE21,IF(AD9="pig",HLOOKUP(AD13,defaults!$B1:$W2,MATCH(AC21,defaults!$A1:$A3,0),FALSE),HLOOKUP(AD12,defaults!$A$5:$AB$20,MATCH('in-barn'!AC21,defaults!$A$5:$A$20,0),FALSE)))</f>
        <v>5</v>
      </c>
      <c r="AE21" s="60"/>
    </row>
    <row r="22" spans="2:31" x14ac:dyDescent="0.25">
      <c r="B22" s="12" t="s">
        <v>41</v>
      </c>
      <c r="C22" s="22" t="str">
        <f>IF(COUNT(D22)=1,D22,HLOOKUP(C12,defaults!$B5:$AB18,MATCH(B22,defaults!$A5:$A18,0),FALSE))</f>
        <v>NA</v>
      </c>
      <c r="D22" s="60"/>
      <c r="E22" s="12" t="s">
        <v>41</v>
      </c>
      <c r="F22" s="22">
        <f>IF(COUNT(G22)=1,G22,HLOOKUP(F12,defaults!$B5:$AB18,MATCH(E22,defaults!$A5:$A18,0),FALSE))</f>
        <v>84</v>
      </c>
      <c r="G22" s="60"/>
      <c r="H22" s="12" t="s">
        <v>41</v>
      </c>
      <c r="I22" s="22">
        <f>IF(COUNT(J22)=1,J22,HLOOKUP(I12,defaults!$B5:$AB18,MATCH(H22,defaults!$A5:$A18,0),FALSE))</f>
        <v>84</v>
      </c>
      <c r="J22" s="60"/>
      <c r="K22" s="12" t="s">
        <v>41</v>
      </c>
      <c r="L22" s="22">
        <f>IF(COUNT(M22)=1,M22,HLOOKUP(L12,defaults!$B5:$AB18,MATCH(K22,defaults!$A5:$A18,0),FALSE))</f>
        <v>84</v>
      </c>
      <c r="M22" s="60"/>
      <c r="N22" s="12" t="s">
        <v>41</v>
      </c>
      <c r="O22" s="22">
        <f>IF(COUNT(P22)=1,P22,HLOOKUP(O12,defaults!$B5:$AB18,MATCH(N22,defaults!$A5:$A18,0),FALSE))</f>
        <v>84</v>
      </c>
      <c r="P22" s="60"/>
      <c r="Q22" s="12" t="s">
        <v>41</v>
      </c>
      <c r="R22" s="22">
        <f>IF(COUNT(S22)=1,S22,HLOOKUP(R12,defaults!$B5:$AB18,MATCH(Q22,defaults!$A5:$A18,0),FALSE))</f>
        <v>84</v>
      </c>
      <c r="S22" s="60"/>
      <c r="T22" s="12" t="s">
        <v>41</v>
      </c>
      <c r="U22" s="22">
        <f>IF(COUNT(V22)=1,V22,HLOOKUP(U12,defaults!$B5:$AB18,MATCH(T22,defaults!$A5:$A18,0),FALSE))</f>
        <v>84</v>
      </c>
      <c r="V22" s="60"/>
      <c r="W22" s="12" t="s">
        <v>41</v>
      </c>
      <c r="X22" s="22">
        <f>IF(COUNT(Y22)=1,Y22,HLOOKUP(X12,defaults!$B5:$AB18,MATCH(W22,defaults!$A5:$A18,0),FALSE))</f>
        <v>84</v>
      </c>
      <c r="Y22" s="60"/>
      <c r="Z22" s="12" t="s">
        <v>41</v>
      </c>
      <c r="AA22" s="22">
        <f>IF(COUNT(AB22)=1,AB22,HLOOKUP(AA12,defaults!$B5:$AB18,MATCH(Z22,defaults!$A5:$A18,0),FALSE))</f>
        <v>84</v>
      </c>
      <c r="AB22" s="60"/>
      <c r="AC22" s="12" t="s">
        <v>41</v>
      </c>
      <c r="AD22" s="22">
        <f>IF(COUNT(AE22)=1,AE22,HLOOKUP(AD12,defaults!$B5:$AB18,MATCH(AC22,defaults!$A5:$A18,0),FALSE))</f>
        <v>84</v>
      </c>
      <c r="AE22" s="60"/>
    </row>
    <row r="23" spans="2:31" ht="17.25" x14ac:dyDescent="0.25">
      <c r="B23" s="12" t="s">
        <v>43</v>
      </c>
      <c r="C23" s="22">
        <f>IF(COUNT(D23)=1,D23,HLOOKUP(C12,defaults!$B5:$AB18,MATCH(B23,defaults!$A5:$A18,0),FALSE))</f>
        <v>0</v>
      </c>
      <c r="D23" s="60"/>
      <c r="E23" s="12" t="s">
        <v>43</v>
      </c>
      <c r="F23" s="22">
        <f>IF(COUNT(G23)=1,G23,HLOOKUP(F12,defaults!$B5:$AB18,MATCH(E23,defaults!$A5:$A18,0),FALSE))</f>
        <v>25</v>
      </c>
      <c r="G23" s="60"/>
      <c r="H23" s="12" t="s">
        <v>43</v>
      </c>
      <c r="I23" s="22">
        <f>IF(COUNT(J23)=1,J23,HLOOKUP(I12,defaults!$B5:$AB18,MATCH(H23,defaults!$A5:$A18,0),FALSE))</f>
        <v>25</v>
      </c>
      <c r="J23" s="60"/>
      <c r="K23" s="12" t="s">
        <v>43</v>
      </c>
      <c r="L23" s="22">
        <f>IF(COUNT(M23)=1,M23,HLOOKUP(L12,defaults!$B5:$AB18,MATCH(K23,defaults!$A5:$A18,0),FALSE))</f>
        <v>25</v>
      </c>
      <c r="M23" s="60"/>
      <c r="N23" s="12" t="s">
        <v>43</v>
      </c>
      <c r="O23" s="22">
        <f>IF(COUNT(P23)=1,P23,HLOOKUP(O12,defaults!$B5:$AB18,MATCH(N23,defaults!$A5:$A18,0),FALSE))</f>
        <v>25</v>
      </c>
      <c r="P23" s="60"/>
      <c r="Q23" s="12" t="s">
        <v>43</v>
      </c>
      <c r="R23" s="22">
        <f>IF(COUNT(S23)=1,S23,HLOOKUP(R12,defaults!$B5:$AB18,MATCH(Q23,defaults!$A5:$A18,0),FALSE))</f>
        <v>25</v>
      </c>
      <c r="S23" s="60"/>
      <c r="T23" s="12" t="s">
        <v>43</v>
      </c>
      <c r="U23" s="22">
        <f>IF(COUNT(V23)=1,V23,HLOOKUP(U12,defaults!$B5:$AB18,MATCH(T23,defaults!$A5:$A18,0),FALSE))</f>
        <v>25</v>
      </c>
      <c r="V23" s="60"/>
      <c r="W23" s="12" t="s">
        <v>43</v>
      </c>
      <c r="X23" s="22">
        <f>IF(COUNT(Y23)=1,Y23,HLOOKUP(X12,defaults!$B5:$AB18,MATCH(W23,defaults!$A5:$A18,0),FALSE))</f>
        <v>25</v>
      </c>
      <c r="Y23" s="60"/>
      <c r="Z23" s="12" t="s">
        <v>43</v>
      </c>
      <c r="AA23" s="22">
        <f>IF(COUNT(AB23)=1,AB23,HLOOKUP(AA12,defaults!$B5:$AB18,MATCH(Z23,defaults!$A5:$A18,0),FALSE))</f>
        <v>25</v>
      </c>
      <c r="AB23" s="60"/>
      <c r="AC23" s="12" t="s">
        <v>43</v>
      </c>
      <c r="AD23" s="22">
        <f>IF(COUNT(AE23)=1,AE23,HLOOKUP(AD12,defaults!$B5:$AB18,MATCH(AC23,defaults!$A5:$A18,0),FALSE))</f>
        <v>25</v>
      </c>
      <c r="AE23" s="60"/>
    </row>
    <row r="24" spans="2:31" ht="16.5" customHeight="1" x14ac:dyDescent="0.25">
      <c r="B24" s="12" t="s">
        <v>44</v>
      </c>
      <c r="C24" s="22">
        <f>IF(COUNT(D24)=1,D24,HLOOKUP(C12,defaults!$B5:$AB18,MATCH(B24,defaults!$A5:$A18,0),FALSE))</f>
        <v>0</v>
      </c>
      <c r="D24" s="60"/>
      <c r="E24" s="12" t="s">
        <v>44</v>
      </c>
      <c r="F24" s="22">
        <f>IF(COUNT(G24)=1,G24,HLOOKUP(F12,defaults!$B5:$AB18,MATCH(E24,defaults!$A5:$A18,0),FALSE))</f>
        <v>5</v>
      </c>
      <c r="G24" s="60"/>
      <c r="H24" s="12" t="s">
        <v>44</v>
      </c>
      <c r="I24" s="22">
        <f>IF(COUNT(J24)=1,J24,HLOOKUP(I12,defaults!$B5:$AB18,MATCH(H24,defaults!$A5:$A18,0),FALSE))</f>
        <v>5</v>
      </c>
      <c r="J24" s="60"/>
      <c r="K24" s="12" t="s">
        <v>44</v>
      </c>
      <c r="L24" s="22">
        <f>IF(COUNT(M24)=1,M24,HLOOKUP(L12,defaults!$B5:$AB18,MATCH(K24,defaults!$A5:$A18,0),FALSE))</f>
        <v>5</v>
      </c>
      <c r="M24" s="60"/>
      <c r="N24" s="12" t="s">
        <v>44</v>
      </c>
      <c r="O24" s="22">
        <f>IF(COUNT(P24)=1,P24,HLOOKUP(O12,defaults!$B5:$AB18,MATCH(N24,defaults!$A5:$A18,0),FALSE))</f>
        <v>5</v>
      </c>
      <c r="P24" s="60"/>
      <c r="Q24" s="12" t="s">
        <v>44</v>
      </c>
      <c r="R24" s="22">
        <f>IF(COUNT(S24)=1,S24,HLOOKUP(R12,defaults!$B5:$AB18,MATCH(Q24,defaults!$A5:$A18,0),FALSE))</f>
        <v>5</v>
      </c>
      <c r="S24" s="60"/>
      <c r="T24" s="12" t="s">
        <v>44</v>
      </c>
      <c r="U24" s="22">
        <f>IF(COUNT(V24)=1,V24,HLOOKUP(U12,defaults!$B5:$AB18,MATCH(T24,defaults!$A5:$A18,0),FALSE))</f>
        <v>5</v>
      </c>
      <c r="V24" s="60"/>
      <c r="W24" s="12" t="s">
        <v>44</v>
      </c>
      <c r="X24" s="22">
        <f>IF(COUNT(Y24)=1,Y24,HLOOKUP(X12,defaults!$B5:$AB18,MATCH(W24,defaults!$A5:$A18,0),FALSE))</f>
        <v>5</v>
      </c>
      <c r="Y24" s="60"/>
      <c r="Z24" s="12" t="s">
        <v>44</v>
      </c>
      <c r="AA24" s="22">
        <f>IF(COUNT(AB24)=1,AB24,HLOOKUP(AA12,defaults!$B5:$AB18,MATCH(Z24,defaults!$A5:$A18,0),FALSE))</f>
        <v>5</v>
      </c>
      <c r="AB24" s="60"/>
      <c r="AC24" s="12" t="s">
        <v>44</v>
      </c>
      <c r="AD24" s="22">
        <f>IF(COUNT(AE24)=1,AE24,HLOOKUP(AD12,defaults!$B5:$AB18,MATCH(AC24,defaults!$A5:$A18,0),FALSE))</f>
        <v>5</v>
      </c>
      <c r="AE24" s="60"/>
    </row>
    <row r="25" spans="2:31" ht="17.25" x14ac:dyDescent="0.25">
      <c r="B25" s="12" t="s">
        <v>46</v>
      </c>
      <c r="C25" s="22">
        <f>IF(COUNT(D25)=1,D25,HLOOKUP(C12,defaults!$B5:$AB18,MATCH(B25,defaults!$A5:$A18,0),FALSE))</f>
        <v>0</v>
      </c>
      <c r="D25" s="60"/>
      <c r="E25" s="12" t="s">
        <v>46</v>
      </c>
      <c r="F25" s="22">
        <f>IF(COUNT(G25)=1,G25,HLOOKUP(F12,defaults!$B5:$AB18,MATCH(E25,defaults!$A5:$A18,0),FALSE))</f>
        <v>0</v>
      </c>
      <c r="G25" s="60"/>
      <c r="H25" s="12" t="s">
        <v>46</v>
      </c>
      <c r="I25" s="22">
        <f>IF(COUNT(J25)=1,J25,HLOOKUP(I12,defaults!$B5:$AB18,MATCH(H25,defaults!$A5:$A18,0),FALSE))</f>
        <v>0</v>
      </c>
      <c r="J25" s="60"/>
      <c r="K25" s="12" t="s">
        <v>46</v>
      </c>
      <c r="L25" s="22">
        <f>IF(COUNT(M25)=1,M25,HLOOKUP(L12,defaults!$B5:$AB18,MATCH(K25,defaults!$A5:$A18,0),FALSE))</f>
        <v>0</v>
      </c>
      <c r="M25" s="60"/>
      <c r="N25" s="12" t="s">
        <v>46</v>
      </c>
      <c r="O25" s="22">
        <f>IF(COUNT(P25)=1,P25,HLOOKUP(O12,defaults!$B5:$AB18,MATCH(N25,defaults!$A5:$A18,0),FALSE))</f>
        <v>0</v>
      </c>
      <c r="P25" s="60"/>
      <c r="Q25" s="12" t="s">
        <v>46</v>
      </c>
      <c r="R25" s="22">
        <f>IF(COUNT(S25)=1,S25,HLOOKUP(R12,defaults!$B5:$AB18,MATCH(Q25,defaults!$A5:$A18,0),FALSE))</f>
        <v>0</v>
      </c>
      <c r="S25" s="60"/>
      <c r="T25" s="12" t="s">
        <v>46</v>
      </c>
      <c r="U25" s="22">
        <f>IF(COUNT(V25)=1,V25,HLOOKUP(U12,defaults!$B5:$AB18,MATCH(T25,defaults!$A5:$A18,0),FALSE))</f>
        <v>0</v>
      </c>
      <c r="V25" s="60"/>
      <c r="W25" s="12" t="s">
        <v>46</v>
      </c>
      <c r="X25" s="22">
        <f>IF(COUNT(Y25)=1,Y25,HLOOKUP(X12,defaults!$B5:$AB18,MATCH(W25,defaults!$A5:$A18,0),FALSE))</f>
        <v>0</v>
      </c>
      <c r="Y25" s="60"/>
      <c r="Z25" s="12" t="s">
        <v>46</v>
      </c>
      <c r="AA25" s="22">
        <f>IF(COUNT(AB25)=1,AB25,HLOOKUP(AA12,defaults!$B5:$AB18,MATCH(Z25,defaults!$A5:$A18,0),FALSE))</f>
        <v>0</v>
      </c>
      <c r="AB25" s="60"/>
      <c r="AC25" s="12" t="s">
        <v>46</v>
      </c>
      <c r="AD25" s="22">
        <f>IF(COUNT(AE25)=1,AE25,HLOOKUP(AD12,defaults!$B5:$AB18,MATCH(AC25,defaults!$A5:$A18,0),FALSE))</f>
        <v>0</v>
      </c>
      <c r="AE25" s="60"/>
    </row>
    <row r="26" spans="2:31" ht="16.5" customHeight="1" x14ac:dyDescent="0.25">
      <c r="B26" s="12" t="s">
        <v>47</v>
      </c>
      <c r="C26" s="22">
        <f>IF(COUNT(D26)=1,D26,HLOOKUP(C12,defaults!$B5:$AB18,MATCH(B26,defaults!$A5:$A18,0),FALSE))</f>
        <v>0</v>
      </c>
      <c r="D26" s="60"/>
      <c r="E26" s="12" t="s">
        <v>47</v>
      </c>
      <c r="F26" s="22">
        <f>IF(COUNT(G26)=1,G26,HLOOKUP(F12,defaults!$B5:$AB18,MATCH(E26,defaults!$A5:$A18,0),FALSE))</f>
        <v>0</v>
      </c>
      <c r="G26" s="60"/>
      <c r="H26" s="12" t="s">
        <v>47</v>
      </c>
      <c r="I26" s="22">
        <f>IF(COUNT(J26)=1,J26,HLOOKUP(I12,defaults!$B5:$AB18,MATCH(H26,defaults!$A5:$A18,0),FALSE))</f>
        <v>0</v>
      </c>
      <c r="J26" s="60"/>
      <c r="K26" s="12" t="s">
        <v>47</v>
      </c>
      <c r="L26" s="22">
        <f>IF(COUNT(M26)=1,M26,HLOOKUP(L12,defaults!$B5:$AB18,MATCH(K26,defaults!$A5:$A18,0),FALSE))</f>
        <v>0</v>
      </c>
      <c r="M26" s="60"/>
      <c r="N26" s="12" t="s">
        <v>47</v>
      </c>
      <c r="O26" s="22">
        <f>IF(COUNT(P26)=1,P26,HLOOKUP(O12,defaults!$B5:$AB18,MATCH(N26,defaults!$A5:$A18,0),FALSE))</f>
        <v>0</v>
      </c>
      <c r="P26" s="60"/>
      <c r="Q26" s="12" t="s">
        <v>47</v>
      </c>
      <c r="R26" s="22">
        <f>IF(COUNT(S26)=1,S26,HLOOKUP(R12,defaults!$B5:$AB18,MATCH(Q26,defaults!$A5:$A18,0),FALSE))</f>
        <v>0</v>
      </c>
      <c r="S26" s="60"/>
      <c r="T26" s="12" t="s">
        <v>47</v>
      </c>
      <c r="U26" s="22">
        <f>IF(COUNT(V26)=1,V26,HLOOKUP(U12,defaults!$B5:$AB18,MATCH(T26,defaults!$A5:$A18,0),FALSE))</f>
        <v>0</v>
      </c>
      <c r="V26" s="60"/>
      <c r="W26" s="12" t="s">
        <v>47</v>
      </c>
      <c r="X26" s="22">
        <f>IF(COUNT(Y26)=1,Y26,HLOOKUP(X12,defaults!$B5:$AB18,MATCH(W26,defaults!$A5:$A18,0),FALSE))</f>
        <v>0</v>
      </c>
      <c r="Y26" s="60"/>
      <c r="Z26" s="12" t="s">
        <v>47</v>
      </c>
      <c r="AA26" s="22">
        <f>IF(COUNT(AB26)=1,AB26,HLOOKUP(AA12,defaults!$B5:$AB18,MATCH(Z26,defaults!$A5:$A18,0),FALSE))</f>
        <v>0</v>
      </c>
      <c r="AB26" s="60"/>
      <c r="AC26" s="12" t="s">
        <v>47</v>
      </c>
      <c r="AD26" s="22">
        <f>IF(COUNT(AE26)=1,AE26,HLOOKUP(AD12,defaults!$B5:$AB18,MATCH(AC26,defaults!$A5:$A18,0),FALSE))</f>
        <v>0</v>
      </c>
      <c r="AE26" s="60"/>
    </row>
    <row r="27" spans="2:31" ht="16.5" customHeight="1" x14ac:dyDescent="0.25">
      <c r="B27" s="12" t="s">
        <v>48</v>
      </c>
      <c r="C27" s="22" t="str">
        <f>IF(ISBLANK(D27), "May", D27)</f>
        <v>May</v>
      </c>
      <c r="D27" s="60" t="s">
        <v>151</v>
      </c>
      <c r="E27" s="12" t="s">
        <v>48</v>
      </c>
      <c r="F27" s="22" t="str">
        <f>IF(ISBLANK(G27), "May", G27)</f>
        <v>May</v>
      </c>
      <c r="G27" s="60" t="s">
        <v>151</v>
      </c>
      <c r="H27" s="12" t="s">
        <v>48</v>
      </c>
      <c r="I27" s="22" t="str">
        <f>IF(ISBLANK(J27), "May", J27)</f>
        <v>May</v>
      </c>
      <c r="J27" s="60" t="s">
        <v>151</v>
      </c>
      <c r="K27" s="12" t="s">
        <v>48</v>
      </c>
      <c r="L27" s="22" t="str">
        <f>IF(ISBLANK(M27), "May", M27)</f>
        <v>May</v>
      </c>
      <c r="M27" s="60" t="s">
        <v>151</v>
      </c>
      <c r="N27" s="12" t="s">
        <v>48</v>
      </c>
      <c r="O27" s="22" t="str">
        <f>IF(ISBLANK(P27), "May", P27)</f>
        <v>May</v>
      </c>
      <c r="P27" s="60" t="s">
        <v>151</v>
      </c>
      <c r="Q27" s="12" t="s">
        <v>48</v>
      </c>
      <c r="R27" s="22" t="str">
        <f>IF(ISBLANK(S27), "May", S27)</f>
        <v>May</v>
      </c>
      <c r="S27" s="60" t="s">
        <v>151</v>
      </c>
      <c r="T27" s="12" t="s">
        <v>48</v>
      </c>
      <c r="U27" s="22" t="str">
        <f>IF(ISBLANK(V27), "May", V27)</f>
        <v>May</v>
      </c>
      <c r="V27" s="60" t="s">
        <v>151</v>
      </c>
      <c r="W27" s="12" t="s">
        <v>48</v>
      </c>
      <c r="X27" s="22" t="str">
        <f>IF(ISBLANK(Y27), "May", Y27)</f>
        <v>May</v>
      </c>
      <c r="Y27" s="60" t="s">
        <v>151</v>
      </c>
      <c r="Z27" s="12" t="s">
        <v>48</v>
      </c>
      <c r="AA27" s="22" t="str">
        <f>IF(ISBLANK(AB27), "May", AB27)</f>
        <v>May</v>
      </c>
      <c r="AB27" s="60" t="s">
        <v>151</v>
      </c>
      <c r="AC27" s="12" t="s">
        <v>48</v>
      </c>
      <c r="AD27" s="22" t="str">
        <f>IF(ISBLANK(AE27), "May", AE27)</f>
        <v>May</v>
      </c>
      <c r="AE27" s="60" t="s">
        <v>151</v>
      </c>
    </row>
    <row r="28" spans="2:31" x14ac:dyDescent="0.25">
      <c r="B28" s="12" t="s">
        <v>50</v>
      </c>
      <c r="C28" s="22">
        <f>IF(COUNT(D28)=1,D28,HLOOKUP(C12,defaults!$A5:$AP20,MATCH('in-barn'!B28,defaults!$A5:$A20,0),FALSE))</f>
        <v>0</v>
      </c>
      <c r="D28" s="60"/>
      <c r="E28" s="12" t="s">
        <v>50</v>
      </c>
      <c r="F28" s="22">
        <f>IF(COUNT(G28)=1,G28,HLOOKUP(F12,defaults!$A5:$AP20,MATCH('in-barn'!E28,defaults!$A5:$A20,0),FALSE))</f>
        <v>0</v>
      </c>
      <c r="G28" s="60"/>
      <c r="H28" s="12" t="s">
        <v>50</v>
      </c>
      <c r="I28" s="22">
        <f>IF(COUNT(J28)=1,J28,HLOOKUP(I12,defaults!$A5:$AP20,MATCH('in-barn'!H28,defaults!$A5:$A20,0),FALSE))</f>
        <v>0</v>
      </c>
      <c r="J28" s="60"/>
      <c r="K28" s="12" t="s">
        <v>50</v>
      </c>
      <c r="L28" s="22">
        <f>IF(COUNT(M28)=1,M28,HLOOKUP(L12,defaults!$A5:$AP20,MATCH('in-barn'!K28,defaults!$A5:$A20,0),FALSE))</f>
        <v>0</v>
      </c>
      <c r="M28" s="60"/>
      <c r="N28" s="12" t="s">
        <v>50</v>
      </c>
      <c r="O28" s="22">
        <f>IF(COUNT(P28)=1,P28,HLOOKUP(O12,defaults!$A5:$AP20,MATCH('in-barn'!N28,defaults!$A5:$A20,0),FALSE))</f>
        <v>0</v>
      </c>
      <c r="P28" s="60"/>
      <c r="Q28" s="12" t="s">
        <v>50</v>
      </c>
      <c r="R28" s="22">
        <f>IF(COUNT(S28)=1,S28,HLOOKUP(R12,defaults!$A5:$AP20,MATCH('in-barn'!Q28,defaults!$A5:$A20,0),FALSE))</f>
        <v>0</v>
      </c>
      <c r="S28" s="60"/>
      <c r="T28" s="12" t="s">
        <v>50</v>
      </c>
      <c r="U28" s="22">
        <f>IF(COUNT(V28)=1,V28,HLOOKUP(U12,defaults!$A5:$AP20,MATCH('in-barn'!T28,defaults!$A5:$A20,0),FALSE))</f>
        <v>0</v>
      </c>
      <c r="V28" s="60"/>
      <c r="W28" s="12" t="s">
        <v>50</v>
      </c>
      <c r="X28" s="22">
        <f>IF(COUNT(Y28)=1,Y28,HLOOKUP(X12,defaults!$A5:$AP20,MATCH('in-barn'!W28,defaults!$A5:$A20,0),FALSE))</f>
        <v>0</v>
      </c>
      <c r="Y28" s="60"/>
      <c r="Z28" s="12" t="s">
        <v>50</v>
      </c>
      <c r="AA28" s="22">
        <f>IF(COUNT(AB28)=1,AB28,HLOOKUP(AA12,defaults!$A5:$AP20,MATCH('in-barn'!Z28,defaults!$A5:$A20,0),FALSE))</f>
        <v>0</v>
      </c>
      <c r="AB28" s="60"/>
      <c r="AC28" s="12" t="s">
        <v>50</v>
      </c>
      <c r="AD28" s="22">
        <f>IF(COUNT(AE28)=1,AE28,HLOOKUP(AD12,defaults!$A5:$AP20,MATCH('in-barn'!AC28,defaults!$A5:$A20,0),FALSE))</f>
        <v>0</v>
      </c>
      <c r="AE28" s="60"/>
    </row>
    <row r="29" spans="2:31" ht="16.5" customHeight="1" x14ac:dyDescent="0.25">
      <c r="B29" s="11" t="s">
        <v>49</v>
      </c>
      <c r="C29" s="21">
        <f>IF(COUNT(D29)=1,D29,IF(C14="none", HLOOKUP('in-barn'!C12,defaults!$A5:$AO20,MATCH(B29,defaults!$A5:$A20,0),FALSE),HLOOKUP('in-barn'!C12,defaults!$A5:$AO20,MATCH(B29,defaults!$A5:$A20,0),FALSE)+0.1))</f>
        <v>0.76</v>
      </c>
      <c r="D29" s="60"/>
      <c r="E29" s="11" t="s">
        <v>49</v>
      </c>
      <c r="F29" s="21">
        <f>IF(COUNT(G29)=1,G29,IF(F14="none", HLOOKUP('in-barn'!F12,defaults!$A5:$AO20,MATCH(E29,defaults!$A5:$A20,0),FALSE),HLOOKUP('in-barn'!F12,defaults!$A5:$AO20,MATCH(E29,defaults!$A5:$A20,0),FALSE)+0.1))</f>
        <v>1.1000000000000001</v>
      </c>
      <c r="G29" s="60"/>
      <c r="H29" s="11" t="s">
        <v>49</v>
      </c>
      <c r="I29" s="21">
        <f>IF(COUNT(J29)=1,J29,IF(I14="none", HLOOKUP('in-barn'!I12,defaults!$A5:$AO20,MATCH(H29,defaults!$A5:$A20,0),FALSE),HLOOKUP('in-barn'!I12,defaults!$A5:$AO20,MATCH(H29,defaults!$A5:$A20,0),FALSE)+0.1))</f>
        <v>1.1000000000000001</v>
      </c>
      <c r="J29" s="60"/>
      <c r="K29" s="11" t="s">
        <v>49</v>
      </c>
      <c r="L29" s="21">
        <f>IF(COUNT(M29)=1,M29,IF(L14="none", HLOOKUP('in-barn'!L12,defaults!$A5:$AO20,MATCH(K29,defaults!$A5:$A20,0),FALSE),HLOOKUP('in-barn'!L12,defaults!$A5:$AO20,MATCH(K29,defaults!$A5:$A20,0),FALSE)+0.1))</f>
        <v>1.1000000000000001</v>
      </c>
      <c r="M29" s="60"/>
      <c r="N29" s="11" t="s">
        <v>49</v>
      </c>
      <c r="O29" s="21">
        <f>IF(COUNT(P29)=1,P29,IF(O14="none", HLOOKUP('in-barn'!O12,defaults!$A5:$AO20,MATCH(N29,defaults!$A5:$A20,0),FALSE),HLOOKUP('in-barn'!O12,defaults!$A5:$AO20,MATCH(N29,defaults!$A5:$A20,0),FALSE)+0.1))</f>
        <v>1.1000000000000001</v>
      </c>
      <c r="P29" s="60"/>
      <c r="Q29" s="11" t="s">
        <v>49</v>
      </c>
      <c r="R29" s="21">
        <f>IF(COUNT(S29)=1,S29,IF(R14="none", HLOOKUP('in-barn'!R12,defaults!$A5:$AO20,MATCH(Q29,defaults!$A5:$A20,0),FALSE),HLOOKUP('in-barn'!R12,defaults!$A5:$AO20,MATCH(Q29,defaults!$A5:$A20,0),FALSE)+0.1))</f>
        <v>1.1000000000000001</v>
      </c>
      <c r="S29" s="60"/>
      <c r="T29" s="11" t="s">
        <v>49</v>
      </c>
      <c r="U29" s="21">
        <f>IF(COUNT(V29)=1,V29,IF(U14="none", HLOOKUP('in-barn'!U12,defaults!$A5:$AO20,MATCH(T29,defaults!$A5:$A20,0),FALSE),HLOOKUP('in-barn'!U12,defaults!$A5:$AO20,MATCH(T29,defaults!$A5:$A20,0),FALSE)+0.1))</f>
        <v>1.1000000000000001</v>
      </c>
      <c r="V29" s="60"/>
      <c r="W29" s="11" t="s">
        <v>49</v>
      </c>
      <c r="X29" s="21">
        <f>IF(COUNT(Y29)=1,Y29,IF(X14="none", HLOOKUP('in-barn'!X12,defaults!$A5:$AO20,MATCH(W29,defaults!$A5:$A20,0),FALSE),HLOOKUP('in-barn'!X12,defaults!$A5:$AO20,MATCH(W29,defaults!$A5:$A20,0),FALSE)+0.1))</f>
        <v>1.1000000000000001</v>
      </c>
      <c r="Y29" s="60"/>
      <c r="Z29" s="11" t="s">
        <v>49</v>
      </c>
      <c r="AA29" s="21">
        <f>IF(COUNT(AB29)=1,AB29,IF(AA14="none", HLOOKUP('in-barn'!AA12,defaults!$A5:$AO20,MATCH(Z29,defaults!$A5:$A20,0),FALSE),HLOOKUP('in-barn'!AA12,defaults!$A5:$AO20,MATCH(Z29,defaults!$A5:$A20,0),FALSE)+0.1))</f>
        <v>1.1000000000000001</v>
      </c>
      <c r="AB29" s="60"/>
      <c r="AC29" s="11" t="s">
        <v>49</v>
      </c>
      <c r="AD29" s="21">
        <f>IF(COUNT(AE29)=1,AE29,IF(AD14="none", HLOOKUP('in-barn'!AD12,defaults!$A5:$AO20,MATCH(AC29,defaults!$A5:$A20,0),FALSE),HLOOKUP('in-barn'!AD12,defaults!$A5:$AO20,MATCH(AC29,defaults!$A5:$A20,0),FALSE)+0.1))</f>
        <v>1.1000000000000001</v>
      </c>
      <c r="AE29" s="60"/>
    </row>
    <row r="30" spans="2:31" ht="16.5" customHeight="1" x14ac:dyDescent="0.25">
      <c r="B30" s="12" t="s">
        <v>167</v>
      </c>
      <c r="C30" s="21">
        <f>IF(COUNT(D30)=1,D30,HLOOKUP(C12,defaults!$A22:$X49,MATCH('in-barn'!C10,defaults!$A22:$A49,0),FALSE))</f>
        <v>7.99</v>
      </c>
      <c r="D30" s="60"/>
      <c r="E30" s="12" t="s">
        <v>167</v>
      </c>
      <c r="F30" s="21">
        <f>IF(COUNT(G30)=1,G30,HLOOKUP(F12,defaults!$A22:$X49,MATCH('in-barn'!F10,defaults!$A22:$A49,0),FALSE))</f>
        <v>0.65</v>
      </c>
      <c r="G30" s="60"/>
      <c r="H30" s="12" t="s">
        <v>167</v>
      </c>
      <c r="I30" s="21">
        <f>IF(COUNT(J30)=1,J30,HLOOKUP(I12,defaults!$A22:$X49,MATCH('in-barn'!I10,defaults!$A22:$A49,0),FALSE))</f>
        <v>0.65</v>
      </c>
      <c r="J30" s="60"/>
      <c r="K30" s="12" t="s">
        <v>167</v>
      </c>
      <c r="L30" s="21">
        <f>IF(COUNT(M30)=1,M30,HLOOKUP(L12,defaults!$A22:$X49,MATCH('in-barn'!L10,defaults!$A22:$A49,0),FALSE))</f>
        <v>0.65</v>
      </c>
      <c r="M30" s="60"/>
      <c r="N30" s="12" t="s">
        <v>167</v>
      </c>
      <c r="O30" s="21">
        <f>IF(COUNT(P30)=1,P30,HLOOKUP(O12,defaults!$A22:$X49,MATCH('in-barn'!O10,defaults!$A22:$A49,0),FALSE))</f>
        <v>0.65</v>
      </c>
      <c r="P30" s="60"/>
      <c r="Q30" s="12" t="s">
        <v>167</v>
      </c>
      <c r="R30" s="21">
        <f>IF(COUNT(S30)=1,S30,HLOOKUP(R12,defaults!$A22:$X49,MATCH('in-barn'!R10,defaults!$A22:$A49,0),FALSE))</f>
        <v>0.65</v>
      </c>
      <c r="S30" s="60"/>
      <c r="T30" s="12" t="s">
        <v>167</v>
      </c>
      <c r="U30" s="21">
        <f>IF(COUNT(V30)=1,V30,HLOOKUP(U12,defaults!$A22:$X49,MATCH('in-barn'!U10,defaults!$A22:$A49,0),FALSE))</f>
        <v>0.65</v>
      </c>
      <c r="V30" s="60"/>
      <c r="W30" s="12" t="s">
        <v>167</v>
      </c>
      <c r="X30" s="21">
        <f>IF(COUNT(Y30)=1,Y30,HLOOKUP(X12,defaults!$A22:$X49,MATCH('in-barn'!X10,defaults!$A22:$A49,0),FALSE))</f>
        <v>0.65</v>
      </c>
      <c r="Y30" s="60"/>
      <c r="Z30" s="12" t="s">
        <v>167</v>
      </c>
      <c r="AA30" s="21">
        <f>IF(COUNT(AB30)=1,AB30,HLOOKUP(AA12,defaults!$A22:$X49,MATCH('in-barn'!AA10,defaults!$A22:$A49,0),FALSE))</f>
        <v>0.65</v>
      </c>
      <c r="AB30" s="60"/>
      <c r="AC30" s="12" t="s">
        <v>167</v>
      </c>
      <c r="AD30" s="21">
        <f>IF(COUNT(AE30)=1,AE30,HLOOKUP(AD12,defaults!$A22:$X49,MATCH('in-barn'!AD10,defaults!$A22:$A49,0),FALSE))</f>
        <v>0.65</v>
      </c>
      <c r="AE30" s="60"/>
    </row>
    <row r="31" spans="2:31" ht="16.5" customHeight="1" x14ac:dyDescent="0.25">
      <c r="B31" s="12" t="s">
        <v>168</v>
      </c>
      <c r="C31" s="57">
        <f>C30*C11</f>
        <v>1677.9</v>
      </c>
      <c r="D31" s="60"/>
      <c r="E31" s="12" t="s">
        <v>168</v>
      </c>
      <c r="F31" s="57">
        <f>F30*F11</f>
        <v>1625</v>
      </c>
      <c r="G31" s="60"/>
      <c r="H31" s="12" t="s">
        <v>168</v>
      </c>
      <c r="I31" s="57">
        <f>I30*I11</f>
        <v>1625</v>
      </c>
      <c r="J31" s="60"/>
      <c r="K31" s="12" t="s">
        <v>168</v>
      </c>
      <c r="L31" s="57">
        <f>L30*L11</f>
        <v>1625</v>
      </c>
      <c r="M31" s="60"/>
      <c r="N31" s="12" t="s">
        <v>168</v>
      </c>
      <c r="O31" s="57">
        <f>O30*O11</f>
        <v>1625</v>
      </c>
      <c r="P31" s="60"/>
      <c r="Q31" s="12" t="s">
        <v>168</v>
      </c>
      <c r="R31" s="57">
        <f>R30*R11</f>
        <v>1625</v>
      </c>
      <c r="S31" s="60"/>
      <c r="T31" s="12" t="s">
        <v>168</v>
      </c>
      <c r="U31" s="57">
        <f>U30*U11</f>
        <v>1625</v>
      </c>
      <c r="V31" s="60"/>
      <c r="W31" s="12" t="s">
        <v>168</v>
      </c>
      <c r="X31" s="57">
        <f>X30*X11</f>
        <v>1625</v>
      </c>
      <c r="Y31" s="60"/>
      <c r="Z31" s="12" t="s">
        <v>168</v>
      </c>
      <c r="AA31" s="57">
        <f>AA30*AA11</f>
        <v>1625</v>
      </c>
      <c r="AB31" s="60"/>
      <c r="AC31" s="12" t="s">
        <v>168</v>
      </c>
      <c r="AD31" s="57">
        <f>AD30*AD11</f>
        <v>1625</v>
      </c>
      <c r="AE31" s="60"/>
    </row>
    <row r="32" spans="2:31" ht="17.25" x14ac:dyDescent="0.25">
      <c r="B32" s="12" t="s">
        <v>169</v>
      </c>
      <c r="C32" s="57">
        <f>C31*C29</f>
        <v>1275.2040000000002</v>
      </c>
      <c r="D32" s="61"/>
      <c r="E32" s="12" t="s">
        <v>169</v>
      </c>
      <c r="F32" s="57">
        <f>F31*F29</f>
        <v>1787.5000000000002</v>
      </c>
      <c r="G32" s="61"/>
      <c r="H32" s="12" t="s">
        <v>169</v>
      </c>
      <c r="I32" s="57">
        <f>I31*I29</f>
        <v>1787.5000000000002</v>
      </c>
      <c r="J32" s="61"/>
      <c r="K32" s="12" t="s">
        <v>169</v>
      </c>
      <c r="L32" s="57">
        <f>L31*L29</f>
        <v>1787.5000000000002</v>
      </c>
      <c r="M32" s="61"/>
      <c r="N32" s="12" t="s">
        <v>169</v>
      </c>
      <c r="O32" s="57">
        <f>O31*O29</f>
        <v>1787.5000000000002</v>
      </c>
      <c r="P32" s="61"/>
      <c r="Q32" s="12" t="s">
        <v>169</v>
      </c>
      <c r="R32" s="57">
        <f>R31*R29</f>
        <v>1787.5000000000002</v>
      </c>
      <c r="S32" s="61"/>
      <c r="T32" s="12" t="s">
        <v>169</v>
      </c>
      <c r="U32" s="57">
        <f>U31*U29</f>
        <v>1787.5000000000002</v>
      </c>
      <c r="V32" s="61"/>
      <c r="W32" s="12" t="s">
        <v>169</v>
      </c>
      <c r="X32" s="57">
        <f>X31*X29</f>
        <v>1787.5000000000002</v>
      </c>
      <c r="Y32" s="61"/>
      <c r="Z32" s="12" t="s">
        <v>169</v>
      </c>
      <c r="AA32" s="57">
        <f>AA31*AA29</f>
        <v>1787.5000000000002</v>
      </c>
      <c r="AB32" s="61"/>
      <c r="AC32" s="12" t="s">
        <v>169</v>
      </c>
      <c r="AD32" s="57">
        <f>AD31*AD29</f>
        <v>1787.5000000000002</v>
      </c>
      <c r="AE32" s="61"/>
    </row>
    <row r="33" spans="2:31" x14ac:dyDescent="0.25">
      <c r="B33" s="13"/>
      <c r="C33" s="15"/>
      <c r="D33" s="32"/>
      <c r="E33" s="13"/>
      <c r="F33" s="15"/>
      <c r="G33" s="32"/>
      <c r="H33" s="13"/>
      <c r="I33" s="15"/>
      <c r="J33" s="32"/>
      <c r="K33" s="13"/>
      <c r="L33" s="15"/>
      <c r="M33" s="32"/>
      <c r="N33" s="13"/>
      <c r="O33" s="15"/>
      <c r="P33" s="32"/>
      <c r="Q33" s="13"/>
      <c r="R33" s="15"/>
      <c r="S33" s="32"/>
      <c r="T33" s="13"/>
      <c r="U33" s="15"/>
      <c r="V33" s="32"/>
      <c r="W33" s="13"/>
      <c r="X33" s="15"/>
      <c r="Y33" s="32"/>
      <c r="Z33" s="13"/>
      <c r="AA33" s="15"/>
      <c r="AB33" s="32"/>
      <c r="AC33" s="13"/>
      <c r="AD33" s="15"/>
      <c r="AE33" s="32"/>
    </row>
    <row r="34" spans="2:31" x14ac:dyDescent="0.25">
      <c r="B34" s="26" t="s">
        <v>170</v>
      </c>
      <c r="C34" s="21"/>
      <c r="D34" s="59"/>
      <c r="E34" s="26" t="s">
        <v>170</v>
      </c>
      <c r="F34" s="21"/>
      <c r="G34" s="59"/>
      <c r="H34" s="26" t="s">
        <v>170</v>
      </c>
      <c r="I34" s="21"/>
      <c r="J34" s="59"/>
      <c r="K34" s="26" t="s">
        <v>170</v>
      </c>
      <c r="L34" s="21"/>
      <c r="M34" s="59"/>
      <c r="N34" s="26" t="s">
        <v>170</v>
      </c>
      <c r="O34" s="21"/>
      <c r="P34" s="59"/>
      <c r="Q34" s="26" t="s">
        <v>170</v>
      </c>
      <c r="R34" s="21"/>
      <c r="S34" s="59"/>
      <c r="T34" s="26" t="s">
        <v>170</v>
      </c>
      <c r="U34" s="21"/>
      <c r="V34" s="59"/>
      <c r="W34" s="26" t="s">
        <v>170</v>
      </c>
      <c r="X34" s="21"/>
      <c r="Y34" s="59"/>
      <c r="Z34" s="26" t="s">
        <v>170</v>
      </c>
      <c r="AA34" s="21"/>
      <c r="AB34" s="59"/>
      <c r="AC34" s="26" t="s">
        <v>170</v>
      </c>
      <c r="AD34" s="21"/>
      <c r="AE34" s="59"/>
    </row>
    <row r="35" spans="2:31" ht="16.5" customHeight="1" x14ac:dyDescent="0.25">
      <c r="B35" s="12" t="s">
        <v>81</v>
      </c>
      <c r="C35" s="22">
        <f>IF(COUNT(D35)=1,D35,HLOOKUP(C10,defaults!$B51:$AB71,MATCH(B35,defaults!$A51:$A72,0),FALSE))</f>
        <v>365</v>
      </c>
      <c r="D35" s="60"/>
      <c r="E35" s="12" t="s">
        <v>81</v>
      </c>
      <c r="F35" s="22">
        <f>IF(COUNT(G35)=1,G35,HLOOKUP(F10,defaults!$B51:$AB71,MATCH(E35,defaults!$A51:$A72,0),FALSE))</f>
        <v>84</v>
      </c>
      <c r="G35" s="60"/>
      <c r="H35" s="12" t="s">
        <v>81</v>
      </c>
      <c r="I35" s="22">
        <f>IF(COUNT(J35)=1,J35,HLOOKUP(I10,defaults!$B51:$AB71,MATCH(H35,defaults!$A51:$A72,0),FALSE))</f>
        <v>84</v>
      </c>
      <c r="J35" s="60"/>
      <c r="K35" s="12" t="s">
        <v>81</v>
      </c>
      <c r="L35" s="22">
        <f>IF(COUNT(M35)=1,M35,HLOOKUP(L10,defaults!$B51:$AB71,MATCH(K35,defaults!$A51:$A72,0),FALSE))</f>
        <v>84</v>
      </c>
      <c r="M35" s="60"/>
      <c r="N35" s="12" t="s">
        <v>81</v>
      </c>
      <c r="O35" s="22">
        <f>IF(COUNT(P35)=1,P35,HLOOKUP(O10,defaults!$B51:$AB71,MATCH(N35,defaults!$A51:$A72,0),FALSE))</f>
        <v>84</v>
      </c>
      <c r="P35" s="60"/>
      <c r="Q35" s="12" t="s">
        <v>81</v>
      </c>
      <c r="R35" s="22">
        <f>IF(COUNT(S35)=1,S35,HLOOKUP(R10,defaults!$B51:$AB71,MATCH(Q35,defaults!$A51:$A72,0),FALSE))</f>
        <v>84</v>
      </c>
      <c r="S35" s="60"/>
      <c r="T35" s="12" t="s">
        <v>81</v>
      </c>
      <c r="U35" s="22">
        <f>IF(COUNT(V35)=1,V35,HLOOKUP(U10,defaults!$B51:$AB71,MATCH(T35,defaults!$A51:$A72,0),FALSE))</f>
        <v>84</v>
      </c>
      <c r="V35" s="60"/>
      <c r="W35" s="12" t="s">
        <v>81</v>
      </c>
      <c r="X35" s="22">
        <f>IF(COUNT(Y35)=1,Y35,HLOOKUP(X10,defaults!$B51:$AB71,MATCH(W35,defaults!$A51:$A72,0),FALSE))</f>
        <v>84</v>
      </c>
      <c r="Y35" s="60"/>
      <c r="Z35" s="12" t="s">
        <v>81</v>
      </c>
      <c r="AA35" s="22">
        <f>IF(COUNT(AB35)=1,AB35,HLOOKUP(AA10,defaults!$B51:$AB71,MATCH(Z35,defaults!$A51:$A72,0),FALSE))</f>
        <v>84</v>
      </c>
      <c r="AB35" s="60"/>
      <c r="AC35" s="12" t="s">
        <v>81</v>
      </c>
      <c r="AD35" s="22">
        <f>IF(COUNT(AE35)=1,AE35,HLOOKUP(AD10,defaults!$B51:$AB71,MATCH(AC35,defaults!$A51:$A72,0),FALSE))</f>
        <v>84</v>
      </c>
      <c r="AE35" s="60"/>
    </row>
    <row r="36" spans="2:31" ht="16.5" customHeight="1" x14ac:dyDescent="0.25">
      <c r="B36" s="12" t="str">
        <f>IF(C9 = "pig","feed intake, kg animal-1","feed intake, kg DM animal-1 yr-1")</f>
        <v>feed intake, kg DM animal-1 yr-1</v>
      </c>
      <c r="C36" s="22">
        <f>IF(COUNT(D36)=1,D36,HLOOKUP('in-barn'!C10,defaults!$A$51:$AB$72,MATCH('in-barn'!B36,defaults!$A$51:$A$72,0),FALSE))</f>
        <v>8497.2000000000007</v>
      </c>
      <c r="D36" s="60">
        <f>23.28*365</f>
        <v>8497.2000000000007</v>
      </c>
      <c r="E36" s="12" t="str">
        <f>IF(F9 = "pig","feed intake, kg animal-1","feed intake, kg DM animal-1 yr-1")</f>
        <v>feed intake, kg animal-1</v>
      </c>
      <c r="F36" s="22">
        <f>IF(COUNT(G36)=1,G36,HLOOKUP('in-barn'!F10,defaults!$A$51:$AB$72,MATCH('in-barn'!E36,defaults!$A$51:$A$72,0),FALSE))</f>
        <v>213.23076923076925</v>
      </c>
      <c r="G36" s="60"/>
      <c r="H36" s="12" t="str">
        <f>IF(I9 = "pig","feed intake, kg animal-1","feed intake, kg DM animal-1 yr-1")</f>
        <v>feed intake, kg animal-1</v>
      </c>
      <c r="I36" s="22">
        <f>IF(COUNT(J36)=1,J36,HLOOKUP('in-barn'!I10,defaults!$A$51:$AB$72,MATCH('in-barn'!H36,defaults!$A$51:$A$72,0),FALSE))</f>
        <v>213.23076923076925</v>
      </c>
      <c r="J36" s="60"/>
      <c r="K36" s="12" t="str">
        <f>IF(L9 = "pig","feed intake, kg animal-1","feed intake, kg DM animal-1 yr-1")</f>
        <v>feed intake, kg animal-1</v>
      </c>
      <c r="L36" s="22">
        <f>IF(COUNT(M36)=1,M36,HLOOKUP('in-barn'!L10,defaults!$A$51:$AB$72,MATCH('in-barn'!K36,defaults!$A$51:$A$72,0),FALSE))</f>
        <v>213.23076923076925</v>
      </c>
      <c r="M36" s="60"/>
      <c r="N36" s="12" t="str">
        <f>IF(O9 = "pig","feed intake, kg animal-1","feed intake, kg DM animal-1 yr-1")</f>
        <v>feed intake, kg animal-1</v>
      </c>
      <c r="O36" s="22">
        <f>IF(COUNT(P36)=1,P36,HLOOKUP('in-barn'!O10,defaults!$A$51:$AB$72,MATCH('in-barn'!N36,defaults!$A$51:$A$72,0),FALSE))</f>
        <v>213.23076923076925</v>
      </c>
      <c r="P36" s="60"/>
      <c r="Q36" s="12" t="str">
        <f>IF(R9 = "pig","feed intake, kg animal-1","feed intake, kg DM animal-1 yr-1")</f>
        <v>feed intake, kg animal-1</v>
      </c>
      <c r="R36" s="22">
        <f>IF(COUNT(S36)=1,S36,HLOOKUP('in-barn'!R10,defaults!$A$51:$AB$72,MATCH('in-barn'!Q36,defaults!$A$51:$A$72,0),FALSE))</f>
        <v>213.23076923076925</v>
      </c>
      <c r="S36" s="60"/>
      <c r="T36" s="12" t="str">
        <f>IF(U9 = "pig","feed intake, kg animal-1","feed intake, kg DM animal-1 yr-1")</f>
        <v>feed intake, kg animal-1</v>
      </c>
      <c r="U36" s="22">
        <f>IF(COUNT(V36)=1,V36,HLOOKUP('in-barn'!U10,defaults!$A$51:$AB$72,MATCH('in-barn'!T36,defaults!$A$51:$A$72,0),FALSE))</f>
        <v>213.23076923076925</v>
      </c>
      <c r="V36" s="60"/>
      <c r="W36" s="12" t="str">
        <f>IF(X9 = "pig","feed intake, kg animal-1","feed intake, kg DM animal-1 yr-1")</f>
        <v>feed intake, kg animal-1</v>
      </c>
      <c r="X36" s="22">
        <f>IF(COUNT(Y36)=1,Y36,HLOOKUP('in-barn'!X10,defaults!$A$51:$AB$72,MATCH('in-barn'!W36,defaults!$A$51:$A$72,0),FALSE))</f>
        <v>213.23076923076925</v>
      </c>
      <c r="Y36" s="60"/>
      <c r="Z36" s="12" t="str">
        <f>IF(AA9 = "pig","feed intake, kg animal-1","feed intake, kg DM animal-1 yr-1")</f>
        <v>feed intake, kg animal-1</v>
      </c>
      <c r="AA36" s="22">
        <f>IF(COUNT(AB36)=1,AB36,HLOOKUP('in-barn'!AA10,defaults!$A$51:$AB$72,MATCH('in-barn'!Z36,defaults!$A$51:$A$72,0),FALSE))</f>
        <v>213.23076923076925</v>
      </c>
      <c r="AB36" s="60"/>
      <c r="AC36" s="12" t="str">
        <f>IF(AD9 = "pig","feed intake, kg animal-1","feed intake, kg DM animal-1 yr-1")</f>
        <v>feed intake, kg animal-1</v>
      </c>
      <c r="AD36" s="22">
        <f>IF(COUNT(AE36)=1,AE36,HLOOKUP('in-barn'!AD10,defaults!$A$51:$AB$72,MATCH('in-barn'!AC36,defaults!$A$51:$A$72,0),FALSE))</f>
        <v>213.23076923076925</v>
      </c>
      <c r="AE36" s="60"/>
    </row>
    <row r="37" spans="2:31" ht="16.5" customHeight="1" x14ac:dyDescent="0.25">
      <c r="B37" s="12" t="s">
        <v>92</v>
      </c>
      <c r="C37" s="22">
        <f>IF(COUNT(D37)=1,D37,IF(C9="cattle",HLOOKUP(C10,defaults!$A$51:$AB$72,MATCH('in-barn'!B37,defaults!$A$51:$A$72,0),FALSE),0))</f>
        <v>12833.4</v>
      </c>
      <c r="D37" s="60">
        <f>35.16*365</f>
        <v>12833.4</v>
      </c>
      <c r="E37" s="12" t="s">
        <v>92</v>
      </c>
      <c r="F37" s="22">
        <f>IF(COUNT(G37)=1,G37,IF(F9="cattle",HLOOKUP(F10,defaults!$A$51:$AB$72,MATCH('in-barn'!E37,defaults!$A$51:$A$72,0),FALSE),0))</f>
        <v>0</v>
      </c>
      <c r="G37" s="60"/>
      <c r="H37" s="12" t="s">
        <v>92</v>
      </c>
      <c r="I37" s="22">
        <f>IF(COUNT(J37)=1,J37,IF(I9="cattle",HLOOKUP(I10,defaults!$A$51:$AB$72,MATCH('in-barn'!H37,defaults!$A$51:$A$72,0),FALSE),0))</f>
        <v>0</v>
      </c>
      <c r="J37" s="60"/>
      <c r="K37" s="12" t="s">
        <v>92</v>
      </c>
      <c r="L37" s="22">
        <f>IF(COUNT(M37)=1,M37,IF(L9="cattle",HLOOKUP(L10,defaults!$A$51:$AB$72,MATCH('in-barn'!K37,defaults!$A$51:$A$72,0),FALSE),0))</f>
        <v>0</v>
      </c>
      <c r="M37" s="60"/>
      <c r="N37" s="12" t="s">
        <v>92</v>
      </c>
      <c r="O37" s="22">
        <f>IF(COUNT(P37)=1,P37,IF(O9="cattle",HLOOKUP(O10,defaults!$A$51:$AB$72,MATCH('in-barn'!N37,defaults!$A$51:$A$72,0),FALSE),0))</f>
        <v>0</v>
      </c>
      <c r="P37" s="60"/>
      <c r="Q37" s="12" t="s">
        <v>92</v>
      </c>
      <c r="R37" s="22">
        <f>IF(COUNT(S37)=1,S37,IF(R9="cattle",HLOOKUP(R10,defaults!$A$51:$AB$72,MATCH('in-barn'!Q37,defaults!$A$51:$A$72,0),FALSE),0))</f>
        <v>0</v>
      </c>
      <c r="S37" s="60"/>
      <c r="T37" s="12" t="s">
        <v>92</v>
      </c>
      <c r="U37" s="22">
        <f>IF(COUNT(V37)=1,V37,IF(U9="cattle",HLOOKUP(U10,defaults!$A$51:$AB$72,MATCH('in-barn'!T37,defaults!$A$51:$A$72,0),FALSE),0))</f>
        <v>0</v>
      </c>
      <c r="V37" s="60"/>
      <c r="W37" s="12" t="s">
        <v>92</v>
      </c>
      <c r="X37" s="22">
        <f>IF(COUNT(Y37)=1,Y37,IF(X9="cattle",HLOOKUP(X10,defaults!$A$51:$AB$72,MATCH('in-barn'!W37,defaults!$A$51:$A$72,0),FALSE),0))</f>
        <v>0</v>
      </c>
      <c r="Y37" s="60"/>
      <c r="Z37" s="12" t="s">
        <v>92</v>
      </c>
      <c r="AA37" s="22">
        <f>IF(COUNT(AB37)=1,AB37,IF(AA9="cattle",HLOOKUP(AA10,defaults!$A$51:$AB$72,MATCH('in-barn'!Z37,defaults!$A$51:$A$72,0),FALSE),0))</f>
        <v>0</v>
      </c>
      <c r="AB37" s="60"/>
      <c r="AC37" s="12" t="s">
        <v>92</v>
      </c>
      <c r="AD37" s="22">
        <f>IF(COUNT(AE37)=1,AE37,IF(AD9="cattle",HLOOKUP(AD10,defaults!$A$51:$AB$72,MATCH('in-barn'!AC37,defaults!$A$51:$A$72,0),FALSE),0))</f>
        <v>0</v>
      </c>
      <c r="AE37" s="60"/>
    </row>
    <row r="38" spans="2:31" ht="16.5" customHeight="1" x14ac:dyDescent="0.25">
      <c r="B38" s="12" t="s">
        <v>93</v>
      </c>
      <c r="C38" s="22">
        <f>IF(COUNT(D38)=1,D38,IF(C9="cattle",HLOOKUP(C10,defaults!$A$51:$AB$72,MATCH('in-barn'!B38,defaults!$A$51:$A$72,0),FALSE),0))</f>
        <v>37.799999999999997</v>
      </c>
      <c r="D38" s="60">
        <v>37.799999999999997</v>
      </c>
      <c r="E38" s="12" t="s">
        <v>93</v>
      </c>
      <c r="F38" s="22">
        <f>IF(COUNT(G38)=1,G38,IF(F9="cattle",HLOOKUP(F10,defaults!$A$51:$AB$72,MATCH('in-barn'!E38,defaults!$A$51:$A$72,0),FALSE),0))</f>
        <v>0</v>
      </c>
      <c r="G38" s="60"/>
      <c r="H38" s="12" t="s">
        <v>93</v>
      </c>
      <c r="I38" s="22">
        <f>IF(COUNT(J38)=1,J38,IF(I9="cattle",HLOOKUP(I10,defaults!$A$51:$AB$72,MATCH('in-barn'!H38,defaults!$A$51:$A$72,0),FALSE),0))</f>
        <v>0</v>
      </c>
      <c r="J38" s="60"/>
      <c r="K38" s="12" t="s">
        <v>93</v>
      </c>
      <c r="L38" s="22">
        <f>IF(COUNT(M38)=1,M38,IF(L9="cattle",HLOOKUP(L10,defaults!$A$51:$AB$72,MATCH('in-barn'!K38,defaults!$A$51:$A$72,0),FALSE),0))</f>
        <v>0</v>
      </c>
      <c r="M38" s="60"/>
      <c r="N38" s="12" t="s">
        <v>93</v>
      </c>
      <c r="O38" s="22">
        <f>IF(COUNT(P38)=1,P38,IF(O9="cattle",HLOOKUP(O10,defaults!$A$51:$AB$72,MATCH('in-barn'!N38,defaults!$A$51:$A$72,0),FALSE),0))</f>
        <v>0</v>
      </c>
      <c r="P38" s="60"/>
      <c r="Q38" s="12" t="s">
        <v>93</v>
      </c>
      <c r="R38" s="22">
        <f>IF(COUNT(S38)=1,S38,IF(R9="cattle",HLOOKUP(R10,defaults!$A$51:$AB$72,MATCH('in-barn'!Q38,defaults!$A$51:$A$72,0),FALSE),0))</f>
        <v>0</v>
      </c>
      <c r="S38" s="60"/>
      <c r="T38" s="12" t="s">
        <v>93</v>
      </c>
      <c r="U38" s="22">
        <f>IF(COUNT(V38)=1,V38,IF(U9="cattle",HLOOKUP(U10,defaults!$A$51:$AB$72,MATCH('in-barn'!T38,defaults!$A$51:$A$72,0),FALSE),0))</f>
        <v>0</v>
      </c>
      <c r="V38" s="60"/>
      <c r="W38" s="12" t="s">
        <v>93</v>
      </c>
      <c r="X38" s="22">
        <f>IF(COUNT(Y38)=1,Y38,IF(X9="cattle",HLOOKUP(X10,defaults!$A$51:$AB$72,MATCH('in-barn'!W38,defaults!$A$51:$A$72,0),FALSE),0))</f>
        <v>0</v>
      </c>
      <c r="Y38" s="60"/>
      <c r="Z38" s="12" t="s">
        <v>93</v>
      </c>
      <c r="AA38" s="22">
        <f>IF(COUNT(AB38)=1,AB38,IF(AA9="cattle",HLOOKUP(AA10,defaults!$A$51:$AB$72,MATCH('in-barn'!Z38,defaults!$A$51:$A$72,0),FALSE),0))</f>
        <v>0</v>
      </c>
      <c r="AB38" s="60"/>
      <c r="AC38" s="12" t="s">
        <v>93</v>
      </c>
      <c r="AD38" s="22">
        <f>IF(COUNT(AE38)=1,AE38,IF(AD9="cattle",HLOOKUP(AD10,defaults!$A$51:$AB$72,MATCH('in-barn'!AC38,defaults!$A$51:$A$72,0),FALSE),0))</f>
        <v>0</v>
      </c>
      <c r="AE38" s="60"/>
    </row>
    <row r="39" spans="2:31" ht="16.5" customHeight="1" x14ac:dyDescent="0.25">
      <c r="B39" s="12" t="s">
        <v>171</v>
      </c>
      <c r="C39" s="22">
        <f>IF(COUNT(D39)=1,D39,HLOOKUP(C10,defaults!$A51:$AB72,MATCH('in-barn'!B39,defaults!$A51:$A72,0),FALSE))</f>
        <v>676</v>
      </c>
      <c r="D39" s="60">
        <v>676</v>
      </c>
      <c r="E39" s="12" t="s">
        <v>171</v>
      </c>
      <c r="F39" s="22">
        <f>IF(COUNT(G39)=1,G39,HLOOKUP(F10,defaults!$A51:$AB72,MATCH('in-barn'!E39,defaults!$A51:$A72,0),FALSE))</f>
        <v>73</v>
      </c>
      <c r="G39" s="60"/>
      <c r="H39" s="12" t="s">
        <v>171</v>
      </c>
      <c r="I39" s="22">
        <f>IF(COUNT(J39)=1,J39,HLOOKUP(I10,defaults!$A51:$AB72,MATCH('in-barn'!H39,defaults!$A51:$A72,0),FALSE))</f>
        <v>73</v>
      </c>
      <c r="J39" s="60"/>
      <c r="K39" s="12" t="s">
        <v>171</v>
      </c>
      <c r="L39" s="22">
        <f>IF(COUNT(M39)=1,M39,HLOOKUP(L10,defaults!$A51:$AB72,MATCH('in-barn'!K39,defaults!$A51:$A72,0),FALSE))</f>
        <v>73</v>
      </c>
      <c r="M39" s="60"/>
      <c r="N39" s="12" t="s">
        <v>171</v>
      </c>
      <c r="O39" s="22">
        <f>IF(COUNT(P39)=1,P39,HLOOKUP(O10,defaults!$A51:$AB72,MATCH('in-barn'!N39,defaults!$A51:$A72,0),FALSE))</f>
        <v>73</v>
      </c>
      <c r="P39" s="60"/>
      <c r="Q39" s="12" t="s">
        <v>171</v>
      </c>
      <c r="R39" s="22">
        <f>IF(COUNT(S39)=1,S39,HLOOKUP(R10,defaults!$A51:$AB72,MATCH('in-barn'!Q39,defaults!$A51:$A72,0),FALSE))</f>
        <v>73</v>
      </c>
      <c r="S39" s="60"/>
      <c r="T39" s="12" t="s">
        <v>171</v>
      </c>
      <c r="U39" s="22">
        <f>IF(COUNT(V39)=1,V39,HLOOKUP(U10,defaults!$A51:$AB72,MATCH('in-barn'!T39,defaults!$A51:$A72,0),FALSE))</f>
        <v>73</v>
      </c>
      <c r="V39" s="60"/>
      <c r="W39" s="12" t="s">
        <v>171</v>
      </c>
      <c r="X39" s="22">
        <f>IF(COUNT(Y39)=1,Y39,HLOOKUP(X10,defaults!$A51:$AB72,MATCH('in-barn'!W39,defaults!$A51:$A72,0),FALSE))</f>
        <v>73</v>
      </c>
      <c r="Y39" s="60"/>
      <c r="Z39" s="12" t="s">
        <v>171</v>
      </c>
      <c r="AA39" s="22">
        <f>IF(COUNT(AB39)=1,AB39,HLOOKUP(AA10,defaults!$A51:$AB72,MATCH('in-barn'!Z39,defaults!$A51:$A72,0),FALSE))</f>
        <v>73</v>
      </c>
      <c r="AB39" s="60"/>
      <c r="AC39" s="12" t="s">
        <v>171</v>
      </c>
      <c r="AD39" s="22">
        <f>IF(COUNT(AE39)=1,AE39,HLOOKUP(AD10,defaults!$A51:$AB72,MATCH('in-barn'!AC39,defaults!$A51:$A72,0),FALSE))</f>
        <v>73</v>
      </c>
      <c r="AE39" s="60"/>
    </row>
    <row r="40" spans="2:31" ht="16.5" customHeight="1" x14ac:dyDescent="0.25">
      <c r="B40" s="12" t="s">
        <v>172</v>
      </c>
      <c r="C40" s="22">
        <f>IF(COUNT(D40)=1,D40,HLOOKUP(C12,defaults!$B74:$AA107,MATCH(C10,defaults!$A74:$A107,0),FALSE))</f>
        <v>146</v>
      </c>
      <c r="D40" s="60"/>
      <c r="E40" s="12" t="s">
        <v>172</v>
      </c>
      <c r="F40" s="22">
        <f>IF(COUNT(G40)=1,G40,HLOOKUP(F12,defaults!$B74:$AA107,MATCH(F10,defaults!$A74:$A107,0),FALSE))</f>
        <v>0</v>
      </c>
      <c r="G40" s="60"/>
      <c r="H40" s="12" t="s">
        <v>172</v>
      </c>
      <c r="I40" s="22">
        <f>IF(COUNT(J40)=1,J40,HLOOKUP(I12,defaults!$B74:$AA107,MATCH(I10,defaults!$A74:$A107,0),FALSE))</f>
        <v>0</v>
      </c>
      <c r="J40" s="60"/>
      <c r="K40" s="12" t="s">
        <v>172</v>
      </c>
      <c r="L40" s="22">
        <f>IF(COUNT(M40)=1,M40,HLOOKUP(L12,defaults!$B74:$AA107,MATCH(L10,defaults!$A74:$A107,0),FALSE))</f>
        <v>0</v>
      </c>
      <c r="M40" s="60"/>
      <c r="N40" s="12" t="s">
        <v>172</v>
      </c>
      <c r="O40" s="22">
        <f>IF(COUNT(P40)=1,P40,HLOOKUP(O12,defaults!$B74:$AA107,MATCH(O10,defaults!$A74:$A107,0),FALSE))</f>
        <v>0</v>
      </c>
      <c r="P40" s="60"/>
      <c r="Q40" s="12" t="s">
        <v>172</v>
      </c>
      <c r="R40" s="22">
        <f>IF(COUNT(S40)=1,S40,HLOOKUP(R12,defaults!$B74:$AA107,MATCH(R10,defaults!$A74:$A107,0),FALSE))</f>
        <v>0</v>
      </c>
      <c r="S40" s="60"/>
      <c r="T40" s="12" t="s">
        <v>172</v>
      </c>
      <c r="U40" s="22">
        <f>IF(COUNT(V40)=1,V40,HLOOKUP(U12,defaults!$B74:$AA107,MATCH(U10,defaults!$A74:$A107,0),FALSE))</f>
        <v>0</v>
      </c>
      <c r="V40" s="60"/>
      <c r="W40" s="12" t="s">
        <v>172</v>
      </c>
      <c r="X40" s="22">
        <f>IF(COUNT(Y40)=1,Y40,HLOOKUP(X12,defaults!$B74:$AA107,MATCH(X10,defaults!$A74:$A107,0),FALSE))</f>
        <v>0</v>
      </c>
      <c r="Y40" s="60"/>
      <c r="Z40" s="12" t="s">
        <v>172</v>
      </c>
      <c r="AA40" s="22">
        <f>IF(COUNT(AB40)=1,AB40,HLOOKUP(AA12,defaults!$B74:$AA107,MATCH(AA10,defaults!$A74:$A107,0),FALSE))</f>
        <v>0</v>
      </c>
      <c r="AB40" s="60"/>
      <c r="AC40" s="12" t="s">
        <v>172</v>
      </c>
      <c r="AD40" s="22">
        <f>IF(COUNT(AE40)=1,AE40,HLOOKUP(AD12,defaults!$B74:$AA107,MATCH(AD10,defaults!$A74:$A107,0),FALSE))</f>
        <v>0</v>
      </c>
      <c r="AE40" s="60"/>
    </row>
    <row r="41" spans="2:31" ht="16.5" customHeight="1" x14ac:dyDescent="0.25">
      <c r="B41" s="12" t="s">
        <v>91</v>
      </c>
      <c r="C41" s="22">
        <f>IF(COUNT(D41)=1,D41,HLOOKUP(C10,defaults!$A51:$AB72,MATCH('in-barn'!B41,defaults!$A51:$A72,0),FALSE))</f>
        <v>0</v>
      </c>
      <c r="D41" s="60">
        <v>0</v>
      </c>
      <c r="E41" s="12" t="s">
        <v>91</v>
      </c>
      <c r="F41" s="22">
        <f>IF(COUNT(G41)=1,G41,HLOOKUP(F10,defaults!$A51:$AB72,MATCH('in-barn'!E41,defaults!$A51:$A72,0),FALSE))</f>
        <v>2</v>
      </c>
      <c r="G41" s="60"/>
      <c r="H41" s="12" t="s">
        <v>91</v>
      </c>
      <c r="I41" s="22">
        <f>IF(COUNT(J41)=1,J41,HLOOKUP(I10,defaults!$A51:$AB72,MATCH('in-barn'!H41,defaults!$A51:$A72,0),FALSE))</f>
        <v>2</v>
      </c>
      <c r="J41" s="60"/>
      <c r="K41" s="12" t="s">
        <v>91</v>
      </c>
      <c r="L41" s="22">
        <f>IF(COUNT(M41)=1,M41,HLOOKUP(L10,defaults!$A51:$AB72,MATCH('in-barn'!K41,defaults!$A51:$A72,0),FALSE))</f>
        <v>2</v>
      </c>
      <c r="M41" s="60"/>
      <c r="N41" s="12" t="s">
        <v>91</v>
      </c>
      <c r="O41" s="22">
        <f>IF(COUNT(P41)=1,P41,HLOOKUP(O10,defaults!$A51:$AB72,MATCH('in-barn'!N41,defaults!$A51:$A72,0),FALSE))</f>
        <v>2</v>
      </c>
      <c r="P41" s="60"/>
      <c r="Q41" s="12" t="s">
        <v>91</v>
      </c>
      <c r="R41" s="22">
        <f>IF(COUNT(S41)=1,S41,HLOOKUP(R10,defaults!$A51:$AB72,MATCH('in-barn'!Q41,defaults!$A51:$A72,0),FALSE))</f>
        <v>2</v>
      </c>
      <c r="S41" s="60"/>
      <c r="T41" s="12" t="s">
        <v>91</v>
      </c>
      <c r="U41" s="22">
        <f>IF(COUNT(V41)=1,V41,HLOOKUP(U10,defaults!$A51:$AB72,MATCH('in-barn'!T41,defaults!$A51:$A72,0),FALSE))</f>
        <v>2</v>
      </c>
      <c r="V41" s="60"/>
      <c r="W41" s="12" t="s">
        <v>91</v>
      </c>
      <c r="X41" s="22">
        <f>IF(COUNT(Y41)=1,Y41,HLOOKUP(X10,defaults!$A51:$AB72,MATCH('in-barn'!W41,defaults!$A51:$A72,0),FALSE))</f>
        <v>2</v>
      </c>
      <c r="Y41" s="60"/>
      <c r="Z41" s="12" t="s">
        <v>91</v>
      </c>
      <c r="AA41" s="22">
        <f>IF(COUNT(AB41)=1,AB41,HLOOKUP(AA10,defaults!$A51:$AB72,MATCH('in-barn'!Z41,defaults!$A51:$A72,0),FALSE))</f>
        <v>2</v>
      </c>
      <c r="AB41" s="60"/>
      <c r="AC41" s="12" t="s">
        <v>91</v>
      </c>
      <c r="AD41" s="22">
        <f>IF(COUNT(AE41)=1,AE41,HLOOKUP(AD10,defaults!$A51:$AB72,MATCH('in-barn'!AC41,defaults!$A51:$A72,0),FALSE))</f>
        <v>2</v>
      </c>
      <c r="AE41" s="60"/>
    </row>
    <row r="42" spans="2:31" ht="16.5" customHeight="1" x14ac:dyDescent="0.25">
      <c r="B42" s="12" t="s">
        <v>806</v>
      </c>
      <c r="C42" s="22">
        <f>IF(COUNT(D42)=1,D42,HLOOKUP(C10,defaults!$A51:$AB72,MATCH('in-barn'!B42,defaults!$A51:$A72,0),FALSE))</f>
        <v>5000</v>
      </c>
      <c r="D42" s="60"/>
      <c r="E42" s="12"/>
      <c r="F42" s="22"/>
      <c r="G42" s="60"/>
      <c r="H42" s="12"/>
      <c r="I42" s="22"/>
      <c r="J42" s="60"/>
      <c r="K42" s="12"/>
      <c r="L42" s="22"/>
      <c r="M42" s="60"/>
      <c r="N42" s="12"/>
      <c r="O42" s="22"/>
      <c r="P42" s="60"/>
      <c r="Q42" s="12"/>
      <c r="R42" s="22"/>
      <c r="S42" s="60"/>
      <c r="T42" s="12"/>
      <c r="U42" s="22"/>
      <c r="V42" s="60"/>
      <c r="W42" s="12"/>
      <c r="X42" s="22"/>
      <c r="Y42" s="60"/>
      <c r="Z42" s="12"/>
      <c r="AA42" s="22"/>
      <c r="AB42" s="60"/>
      <c r="AC42" s="12"/>
      <c r="AD42" s="22"/>
      <c r="AE42" s="60"/>
    </row>
    <row r="43" spans="2:31" ht="17.25" x14ac:dyDescent="0.25">
      <c r="B43" s="12" t="s">
        <v>99</v>
      </c>
      <c r="C43" s="23">
        <f>IF(COUNT(D43)=1,D43,HLOOKUP('in-barn'!C10,defaults!$A51:$AB72,MATCH('in-barn'!B43,defaults!$A51:$A72,0),FALSE))</f>
        <v>0.54054054054054046</v>
      </c>
      <c r="D43" s="60"/>
      <c r="E43" s="12" t="s">
        <v>99</v>
      </c>
      <c r="F43" s="23">
        <f>IF(COUNT(G43)=1,G43,HLOOKUP('in-barn'!F10,defaults!$A51:$AB72,MATCH('in-barn'!E43,defaults!$A51:$A72,0),FALSE))</f>
        <v>2</v>
      </c>
      <c r="G43" s="60"/>
      <c r="H43" s="12" t="s">
        <v>99</v>
      </c>
      <c r="I43" s="23">
        <f>IF(COUNT(J43)=1,J43,HLOOKUP('in-barn'!I10,defaults!$A51:$AB72,MATCH('in-barn'!H43,defaults!$A51:$A72,0),FALSE))</f>
        <v>2</v>
      </c>
      <c r="J43" s="60"/>
      <c r="K43" s="12" t="s">
        <v>99</v>
      </c>
      <c r="L43" s="23">
        <f>IF(COUNT(M43)=1,M43,HLOOKUP('in-barn'!L10,defaults!$A51:$AB72,MATCH('in-barn'!K43,defaults!$A51:$A72,0),FALSE))</f>
        <v>2</v>
      </c>
      <c r="M43" s="60"/>
      <c r="N43" s="12" t="s">
        <v>99</v>
      </c>
      <c r="O43" s="23">
        <f>IF(COUNT(P43)=1,P43,HLOOKUP('in-barn'!O10,defaults!$A51:$AB72,MATCH('in-barn'!N43,defaults!$A51:$A72,0),FALSE))</f>
        <v>2</v>
      </c>
      <c r="P43" s="60"/>
      <c r="Q43" s="12" t="s">
        <v>99</v>
      </c>
      <c r="R43" s="23">
        <f>IF(COUNT(S43)=1,S43,HLOOKUP('in-barn'!R10,defaults!$A51:$AB72,MATCH('in-barn'!Q43,defaults!$A51:$A72,0),FALSE))</f>
        <v>2</v>
      </c>
      <c r="S43" s="60"/>
      <c r="T43" s="12" t="s">
        <v>99</v>
      </c>
      <c r="U43" s="23">
        <f>IF(COUNT(V43)=1,V43,HLOOKUP('in-barn'!U10,defaults!$A51:$AB72,MATCH('in-barn'!T43,defaults!$A51:$A72,0),FALSE))</f>
        <v>2</v>
      </c>
      <c r="V43" s="60"/>
      <c r="W43" s="12" t="s">
        <v>99</v>
      </c>
      <c r="X43" s="23">
        <f>IF(COUNT(Y43)=1,Y43,HLOOKUP('in-barn'!X10,defaults!$A51:$AB72,MATCH('in-barn'!W43,defaults!$A51:$A72,0),FALSE))</f>
        <v>2</v>
      </c>
      <c r="Y43" s="60"/>
      <c r="Z43" s="12" t="s">
        <v>99</v>
      </c>
      <c r="AA43" s="23">
        <f>IF(COUNT(AB43)=1,AB43,HLOOKUP('in-barn'!AA10,defaults!$A51:$AB72,MATCH('in-barn'!Z43,defaults!$A51:$A72,0),FALSE))</f>
        <v>2</v>
      </c>
      <c r="AB43" s="60"/>
      <c r="AC43" s="12" t="s">
        <v>99</v>
      </c>
      <c r="AD43" s="23">
        <f>IF(COUNT(AE43)=1,AE43,HLOOKUP('in-barn'!AD10,defaults!$A51:$AB72,MATCH('in-barn'!AC43,defaults!$A51:$A72,0),FALSE))</f>
        <v>2</v>
      </c>
      <c r="AE43" s="60"/>
    </row>
    <row r="44" spans="2:31" x14ac:dyDescent="0.25">
      <c r="B44" s="12" t="s">
        <v>173</v>
      </c>
      <c r="C44" s="22">
        <f>IF(COUNT(D44)=1,D44,85)</f>
        <v>85</v>
      </c>
      <c r="D44" s="61"/>
      <c r="E44" s="12" t="s">
        <v>173</v>
      </c>
      <c r="F44" s="22">
        <f>IF(COUNT(G44)=1,G44,85)</f>
        <v>85</v>
      </c>
      <c r="G44" s="61"/>
      <c r="H44" s="12" t="s">
        <v>173</v>
      </c>
      <c r="I44" s="22">
        <f>IF(COUNT(J44)=1,J44,85)</f>
        <v>85</v>
      </c>
      <c r="J44" s="61"/>
      <c r="K44" s="12" t="s">
        <v>173</v>
      </c>
      <c r="L44" s="22">
        <f>IF(COUNT(M44)=1,M44,85)</f>
        <v>85</v>
      </c>
      <c r="M44" s="61"/>
      <c r="N44" s="12" t="s">
        <v>173</v>
      </c>
      <c r="O44" s="22">
        <f>IF(COUNT(P44)=1,P44,85)</f>
        <v>85</v>
      </c>
      <c r="P44" s="61"/>
      <c r="Q44" s="12" t="s">
        <v>173</v>
      </c>
      <c r="R44" s="22">
        <f>IF(COUNT(S44)=1,S44,85)</f>
        <v>85</v>
      </c>
      <c r="S44" s="61"/>
      <c r="T44" s="12" t="s">
        <v>173</v>
      </c>
      <c r="U44" s="22">
        <f>IF(COUNT(V44)=1,V44,85)</f>
        <v>85</v>
      </c>
      <c r="V44" s="61"/>
      <c r="W44" s="12" t="s">
        <v>173</v>
      </c>
      <c r="X44" s="22">
        <f>IF(COUNT(Y44)=1,Y44,85)</f>
        <v>85</v>
      </c>
      <c r="Y44" s="61"/>
      <c r="Z44" s="12" t="s">
        <v>173</v>
      </c>
      <c r="AA44" s="22">
        <f>IF(COUNT(AB44)=1,AB44,85)</f>
        <v>85</v>
      </c>
      <c r="AB44" s="61"/>
      <c r="AC44" s="12" t="s">
        <v>173</v>
      </c>
      <c r="AD44" s="22">
        <f>IF(COUNT(AE44)=1,AE44,85)</f>
        <v>85</v>
      </c>
      <c r="AE44" s="61"/>
    </row>
    <row r="45" spans="2:31" x14ac:dyDescent="0.25">
      <c r="B45" s="13"/>
      <c r="C45" s="15"/>
      <c r="D45" s="32"/>
      <c r="E45" s="13"/>
      <c r="F45" s="15"/>
      <c r="G45" s="32"/>
      <c r="H45" s="13"/>
      <c r="I45" s="15"/>
      <c r="J45" s="32"/>
      <c r="K45" s="13"/>
      <c r="L45" s="15"/>
      <c r="M45" s="32"/>
      <c r="N45" s="13"/>
      <c r="O45" s="15"/>
      <c r="P45" s="32"/>
      <c r="Q45" s="13"/>
      <c r="R45" s="15"/>
      <c r="S45" s="32"/>
      <c r="T45" s="13"/>
      <c r="U45" s="15"/>
      <c r="V45" s="32"/>
      <c r="W45" s="13"/>
      <c r="X45" s="15"/>
      <c r="Y45" s="32"/>
      <c r="Z45" s="13"/>
      <c r="AA45" s="15"/>
      <c r="AB45" s="32"/>
      <c r="AC45" s="13"/>
      <c r="AD45" s="15"/>
      <c r="AE45" s="32"/>
    </row>
    <row r="46" spans="2:31" x14ac:dyDescent="0.25">
      <c r="B46" s="26" t="str">
        <f>IF(C9="pig", "Feed composition (mass % of wet feed)","Feed composition (DM% of feed DM)")</f>
        <v>Feed composition (DM% of feed DM)</v>
      </c>
      <c r="C46" s="21"/>
      <c r="D46" s="62"/>
      <c r="E46" s="26" t="str">
        <f>IF(F9="pig", "Feed composition (mass % of wet feed)","Feed composition (DM% of feed DM)")</f>
        <v>Feed composition (mass % of wet feed)</v>
      </c>
      <c r="F46" s="21"/>
      <c r="G46" s="62"/>
      <c r="H46" s="26" t="str">
        <f>IF(I9="pig", "Feed composition (mass % of wet feed)","Feed composition (DM% of feed DM)")</f>
        <v>Feed composition (mass % of wet feed)</v>
      </c>
      <c r="I46" s="21"/>
      <c r="J46" s="62"/>
      <c r="K46" s="26" t="str">
        <f>IF(L9="pig", "Feed composition (mass % of wet feed)","Feed composition (DM% of feed DM)")</f>
        <v>Feed composition (mass % of wet feed)</v>
      </c>
      <c r="L46" s="21"/>
      <c r="M46" s="62"/>
      <c r="N46" s="26" t="str">
        <f>IF(O9="pig", "Feed composition (mass % of wet feed)","Feed composition (DM% of feed DM)")</f>
        <v>Feed composition (mass % of wet feed)</v>
      </c>
      <c r="O46" s="21"/>
      <c r="P46" s="62"/>
      <c r="Q46" s="26" t="str">
        <f>IF(R9="pig", "Feed composition (mass % of wet feed)","Feed composition (DM% of feed DM)")</f>
        <v>Feed composition (mass % of wet feed)</v>
      </c>
      <c r="R46" s="21"/>
      <c r="S46" s="62"/>
      <c r="T46" s="26" t="str">
        <f>IF(U9="pig", "Feed composition (mass % of wet feed)","Feed composition (DM% of feed DM)")</f>
        <v>Feed composition (mass % of wet feed)</v>
      </c>
      <c r="U46" s="21"/>
      <c r="V46" s="62"/>
      <c r="W46" s="26" t="str">
        <f>IF(X9="pig", "Feed composition (mass % of wet feed)","Feed composition (DM% of feed DM)")</f>
        <v>Feed composition (mass % of wet feed)</v>
      </c>
      <c r="X46" s="21"/>
      <c r="Y46" s="62"/>
      <c r="Z46" s="26" t="str">
        <f>IF(AA9="pig", "Feed composition (mass % of wet feed)","Feed composition (DM% of feed DM)")</f>
        <v>Feed composition (mass % of wet feed)</v>
      </c>
      <c r="AA46" s="21"/>
      <c r="AB46" s="62"/>
      <c r="AC46" s="26" t="str">
        <f>IF(AD9="pig", "Feed composition (mass % of wet feed)","Feed composition (DM% of feed DM)")</f>
        <v>Feed composition (mass % of wet feed)</v>
      </c>
      <c r="AD46" s="21"/>
      <c r="AE46" s="62"/>
    </row>
    <row r="47" spans="2:31" x14ac:dyDescent="0.25">
      <c r="B47" s="35" t="s">
        <v>733</v>
      </c>
      <c r="C47" s="38">
        <v>8.11</v>
      </c>
      <c r="D47" s="60"/>
      <c r="E47" s="35" t="s">
        <v>111</v>
      </c>
      <c r="F47" s="38">
        <v>47.2</v>
      </c>
      <c r="G47" s="60"/>
      <c r="H47" s="35" t="s">
        <v>111</v>
      </c>
      <c r="I47" s="38">
        <v>47.2</v>
      </c>
      <c r="J47" s="60"/>
      <c r="K47" s="35" t="s">
        <v>111</v>
      </c>
      <c r="L47" s="38">
        <v>47.2</v>
      </c>
      <c r="M47" s="60"/>
      <c r="N47" s="35" t="s">
        <v>111</v>
      </c>
      <c r="O47" s="38">
        <v>47.2</v>
      </c>
      <c r="P47" s="60"/>
      <c r="Q47" s="35" t="s">
        <v>111</v>
      </c>
      <c r="R47" s="38">
        <v>47.2</v>
      </c>
      <c r="S47" s="60"/>
      <c r="T47" s="35" t="s">
        <v>111</v>
      </c>
      <c r="U47" s="38">
        <v>47.2</v>
      </c>
      <c r="V47" s="60"/>
      <c r="W47" s="35" t="s">
        <v>111</v>
      </c>
      <c r="X47" s="38">
        <v>47.2</v>
      </c>
      <c r="Y47" s="60"/>
      <c r="Z47" s="35" t="s">
        <v>111</v>
      </c>
      <c r="AA47" s="38">
        <v>47.2</v>
      </c>
      <c r="AB47" s="60"/>
      <c r="AC47" s="35" t="s">
        <v>111</v>
      </c>
      <c r="AD47" s="38">
        <v>47.2</v>
      </c>
      <c r="AE47" s="60"/>
    </row>
    <row r="48" spans="2:31" ht="15" customHeight="1" x14ac:dyDescent="0.25">
      <c r="B48" s="35" t="s">
        <v>614</v>
      </c>
      <c r="C48" s="38">
        <v>4.29</v>
      </c>
      <c r="D48" s="60"/>
      <c r="E48" s="35" t="s">
        <v>110</v>
      </c>
      <c r="F48" s="38">
        <v>24.49</v>
      </c>
      <c r="H48" s="35" t="s">
        <v>110</v>
      </c>
      <c r="I48" s="38">
        <v>24.49</v>
      </c>
      <c r="J48" s="60"/>
      <c r="K48" s="35" t="s">
        <v>110</v>
      </c>
      <c r="L48" s="38">
        <v>24.49</v>
      </c>
      <c r="M48" s="60"/>
      <c r="N48" s="35" t="s">
        <v>110</v>
      </c>
      <c r="O48" s="38">
        <v>24.49</v>
      </c>
      <c r="P48" s="60"/>
      <c r="Q48" s="35" t="s">
        <v>110</v>
      </c>
      <c r="R48" s="38">
        <v>24.49</v>
      </c>
      <c r="S48" s="60"/>
      <c r="T48" s="35" t="s">
        <v>110</v>
      </c>
      <c r="U48" s="38">
        <v>24.49</v>
      </c>
      <c r="V48" s="60"/>
      <c r="W48" s="35" t="s">
        <v>110</v>
      </c>
      <c r="X48" s="38">
        <v>24.49</v>
      </c>
      <c r="Y48" s="60"/>
      <c r="Z48" s="35" t="s">
        <v>110</v>
      </c>
      <c r="AA48" s="38">
        <v>24.49</v>
      </c>
      <c r="AB48" s="60"/>
      <c r="AC48" s="35" t="s">
        <v>110</v>
      </c>
      <c r="AD48" s="38">
        <v>24.49</v>
      </c>
      <c r="AE48" s="60"/>
    </row>
    <row r="49" spans="1:31" x14ac:dyDescent="0.25">
      <c r="B49" s="71" t="s">
        <v>690</v>
      </c>
      <c r="C49" s="38">
        <v>21.95</v>
      </c>
      <c r="D49" s="60"/>
      <c r="E49" s="35" t="s">
        <v>112</v>
      </c>
      <c r="F49" s="38">
        <v>10</v>
      </c>
      <c r="G49" s="60"/>
      <c r="H49" s="35" t="s">
        <v>112</v>
      </c>
      <c r="I49" s="38">
        <v>10</v>
      </c>
      <c r="J49" s="60"/>
      <c r="K49" s="35" t="s">
        <v>112</v>
      </c>
      <c r="L49" s="38">
        <v>10</v>
      </c>
      <c r="M49" s="60"/>
      <c r="N49" s="35" t="s">
        <v>112</v>
      </c>
      <c r="O49" s="38">
        <v>10</v>
      </c>
      <c r="P49" s="60"/>
      <c r="Q49" s="35" t="s">
        <v>112</v>
      </c>
      <c r="R49" s="38">
        <v>10</v>
      </c>
      <c r="S49" s="60"/>
      <c r="T49" s="35" t="s">
        <v>112</v>
      </c>
      <c r="U49" s="38">
        <v>10</v>
      </c>
      <c r="V49" s="60"/>
      <c r="W49" s="35" t="s">
        <v>112</v>
      </c>
      <c r="X49" s="38">
        <v>10</v>
      </c>
      <c r="Y49" s="60"/>
      <c r="Z49" s="35" t="s">
        <v>112</v>
      </c>
      <c r="AA49" s="38">
        <v>10</v>
      </c>
      <c r="AB49" s="60"/>
      <c r="AC49" s="35" t="s">
        <v>112</v>
      </c>
      <c r="AD49" s="38">
        <v>10</v>
      </c>
      <c r="AE49" s="60"/>
    </row>
    <row r="50" spans="1:31" x14ac:dyDescent="0.25">
      <c r="A50" t="s">
        <v>809</v>
      </c>
      <c r="B50" s="35" t="s">
        <v>493</v>
      </c>
      <c r="C50" s="38">
        <v>0</v>
      </c>
      <c r="D50" s="60"/>
      <c r="E50" s="35" t="s">
        <v>174</v>
      </c>
      <c r="F50" s="38">
        <v>0.6</v>
      </c>
      <c r="G50" s="60"/>
      <c r="H50" s="35" t="s">
        <v>174</v>
      </c>
      <c r="I50" s="38">
        <v>0.6</v>
      </c>
      <c r="J50" s="60"/>
      <c r="K50" s="35" t="s">
        <v>174</v>
      </c>
      <c r="L50" s="38">
        <v>0.6</v>
      </c>
      <c r="M50" s="60"/>
      <c r="N50" s="35" t="s">
        <v>174</v>
      </c>
      <c r="O50" s="38">
        <v>0.6</v>
      </c>
      <c r="P50" s="60"/>
      <c r="Q50" s="35" t="s">
        <v>174</v>
      </c>
      <c r="R50" s="38">
        <v>0.6</v>
      </c>
      <c r="S50" s="60"/>
      <c r="T50" s="35" t="s">
        <v>174</v>
      </c>
      <c r="U50" s="38">
        <v>0.6</v>
      </c>
      <c r="V50" s="60"/>
      <c r="W50" s="35" t="s">
        <v>174</v>
      </c>
      <c r="X50" s="38">
        <v>0.6</v>
      </c>
      <c r="Y50" s="60"/>
      <c r="Z50" s="35" t="s">
        <v>174</v>
      </c>
      <c r="AA50" s="38">
        <v>0.6</v>
      </c>
      <c r="AB50" s="60"/>
      <c r="AC50" s="35" t="s">
        <v>174</v>
      </c>
      <c r="AD50" s="38">
        <v>0.6</v>
      </c>
      <c r="AE50" s="60"/>
    </row>
    <row r="51" spans="1:31" x14ac:dyDescent="0.25">
      <c r="B51" s="35" t="s">
        <v>619</v>
      </c>
      <c r="C51" s="38">
        <v>49.62</v>
      </c>
      <c r="D51" s="60"/>
      <c r="E51" s="35" t="s">
        <v>175</v>
      </c>
      <c r="F51" s="38">
        <v>1.6</v>
      </c>
      <c r="G51" s="60"/>
      <c r="H51" s="35" t="s">
        <v>175</v>
      </c>
      <c r="I51" s="38">
        <v>1.6</v>
      </c>
      <c r="J51" s="60"/>
      <c r="K51" s="35" t="s">
        <v>175</v>
      </c>
      <c r="L51" s="38">
        <v>1.6</v>
      </c>
      <c r="M51" s="60"/>
      <c r="N51" s="35" t="s">
        <v>175</v>
      </c>
      <c r="O51" s="38">
        <v>1.6</v>
      </c>
      <c r="P51" s="60"/>
      <c r="Q51" s="35" t="s">
        <v>175</v>
      </c>
      <c r="R51" s="38">
        <v>1.6</v>
      </c>
      <c r="S51" s="60"/>
      <c r="T51" s="35" t="s">
        <v>175</v>
      </c>
      <c r="U51" s="38">
        <v>1.6</v>
      </c>
      <c r="V51" s="60"/>
      <c r="W51" s="35" t="s">
        <v>175</v>
      </c>
      <c r="X51" s="38">
        <v>1.6</v>
      </c>
      <c r="Y51" s="60"/>
      <c r="Z51" s="35" t="s">
        <v>175</v>
      </c>
      <c r="AA51" s="38">
        <v>1.6</v>
      </c>
      <c r="AB51" s="60"/>
      <c r="AC51" s="35" t="s">
        <v>175</v>
      </c>
      <c r="AD51" s="38">
        <v>1.6</v>
      </c>
      <c r="AE51" s="60"/>
    </row>
    <row r="52" spans="1:31" x14ac:dyDescent="0.25">
      <c r="B52" s="35" t="s">
        <v>430</v>
      </c>
      <c r="C52" s="38">
        <v>6.2</v>
      </c>
      <c r="D52" s="60"/>
      <c r="E52" s="35" t="s">
        <v>117</v>
      </c>
      <c r="F52" s="38">
        <v>0.3</v>
      </c>
      <c r="G52" s="60"/>
      <c r="H52" s="35" t="s">
        <v>117</v>
      </c>
      <c r="I52" s="38">
        <v>0.3</v>
      </c>
      <c r="J52" s="60"/>
      <c r="K52" s="35" t="s">
        <v>117</v>
      </c>
      <c r="L52" s="38">
        <v>0.3</v>
      </c>
      <c r="M52" s="60"/>
      <c r="N52" s="35" t="s">
        <v>117</v>
      </c>
      <c r="O52" s="38">
        <v>0.3</v>
      </c>
      <c r="P52" s="60"/>
      <c r="Q52" s="35" t="s">
        <v>117</v>
      </c>
      <c r="R52" s="38">
        <v>0.3</v>
      </c>
      <c r="S52" s="60"/>
      <c r="T52" s="35" t="s">
        <v>117</v>
      </c>
      <c r="U52" s="38">
        <v>0.3</v>
      </c>
      <c r="V52" s="60"/>
      <c r="W52" s="35" t="s">
        <v>117</v>
      </c>
      <c r="X52" s="38">
        <v>0.3</v>
      </c>
      <c r="Y52" s="60"/>
      <c r="Z52" s="35" t="s">
        <v>117</v>
      </c>
      <c r="AA52" s="38">
        <v>0.3</v>
      </c>
      <c r="AB52" s="60"/>
      <c r="AC52" s="35" t="s">
        <v>117</v>
      </c>
      <c r="AD52" s="38">
        <v>0.3</v>
      </c>
      <c r="AE52" s="60"/>
    </row>
    <row r="53" spans="1:31" x14ac:dyDescent="0.25">
      <c r="B53" s="35" t="s">
        <v>540</v>
      </c>
      <c r="C53" s="38">
        <v>6.2</v>
      </c>
      <c r="D53" s="60"/>
      <c r="E53" s="35" t="s">
        <v>113</v>
      </c>
      <c r="F53" s="38">
        <v>8.1</v>
      </c>
      <c r="G53" s="60"/>
      <c r="H53" s="35" t="s">
        <v>113</v>
      </c>
      <c r="I53" s="38">
        <v>8.1</v>
      </c>
      <c r="J53" s="60"/>
      <c r="K53" s="35" t="s">
        <v>113</v>
      </c>
      <c r="L53" s="38">
        <v>8.1</v>
      </c>
      <c r="M53" s="60"/>
      <c r="N53" s="35" t="s">
        <v>113</v>
      </c>
      <c r="O53" s="38">
        <v>8.1</v>
      </c>
      <c r="P53" s="60"/>
      <c r="Q53" s="35" t="s">
        <v>113</v>
      </c>
      <c r="R53" s="38">
        <v>8.1</v>
      </c>
      <c r="S53" s="60"/>
      <c r="T53" s="35" t="s">
        <v>113</v>
      </c>
      <c r="U53" s="38">
        <v>8.1</v>
      </c>
      <c r="V53" s="60"/>
      <c r="W53" s="35" t="s">
        <v>113</v>
      </c>
      <c r="X53" s="38">
        <v>8.1</v>
      </c>
      <c r="Y53" s="60"/>
      <c r="Z53" s="35" t="s">
        <v>113</v>
      </c>
      <c r="AA53" s="38">
        <v>8.1</v>
      </c>
      <c r="AB53" s="60"/>
      <c r="AC53" s="35" t="s">
        <v>113</v>
      </c>
      <c r="AD53" s="38">
        <v>8.1</v>
      </c>
      <c r="AE53" s="60"/>
    </row>
    <row r="54" spans="1:31" x14ac:dyDescent="0.25">
      <c r="B54" s="35" t="s">
        <v>577</v>
      </c>
      <c r="C54" s="38">
        <v>0.41</v>
      </c>
      <c r="D54" s="60"/>
      <c r="E54" s="35" t="s">
        <v>114</v>
      </c>
      <c r="F54" s="38">
        <v>5.2</v>
      </c>
      <c r="G54" s="60"/>
      <c r="H54" s="35" t="s">
        <v>114</v>
      </c>
      <c r="I54" s="38">
        <v>5.2</v>
      </c>
      <c r="J54" s="60"/>
      <c r="K54" s="35" t="s">
        <v>114</v>
      </c>
      <c r="L54" s="38">
        <v>5.2</v>
      </c>
      <c r="M54" s="60"/>
      <c r="N54" s="35" t="s">
        <v>114</v>
      </c>
      <c r="O54" s="38">
        <v>5.2</v>
      </c>
      <c r="P54" s="60"/>
      <c r="Q54" s="35" t="s">
        <v>114</v>
      </c>
      <c r="R54" s="38">
        <v>5.2</v>
      </c>
      <c r="S54" s="60"/>
      <c r="T54" s="35" t="s">
        <v>114</v>
      </c>
      <c r="U54" s="38">
        <v>5.2</v>
      </c>
      <c r="V54" s="60"/>
      <c r="W54" s="35" t="s">
        <v>114</v>
      </c>
      <c r="X54" s="38">
        <v>5.2</v>
      </c>
      <c r="Y54" s="60"/>
      <c r="Z54" s="35" t="s">
        <v>114</v>
      </c>
      <c r="AA54" s="38">
        <v>5.2</v>
      </c>
      <c r="AB54" s="60"/>
      <c r="AC54" s="35" t="s">
        <v>114</v>
      </c>
      <c r="AD54" s="38">
        <v>5.2</v>
      </c>
      <c r="AE54" s="60"/>
    </row>
    <row r="55" spans="1:31" x14ac:dyDescent="0.25">
      <c r="B55" s="72" t="s">
        <v>515</v>
      </c>
      <c r="C55" s="38">
        <v>0.21</v>
      </c>
      <c r="D55" s="60"/>
      <c r="E55" s="35" t="s">
        <v>115</v>
      </c>
      <c r="F55" s="38">
        <v>0.5</v>
      </c>
      <c r="G55" s="60"/>
      <c r="H55" s="35" t="s">
        <v>115</v>
      </c>
      <c r="I55" s="38">
        <v>0.5</v>
      </c>
      <c r="J55" s="60"/>
      <c r="K55" s="35" t="s">
        <v>115</v>
      </c>
      <c r="L55" s="38">
        <v>0.5</v>
      </c>
      <c r="M55" s="60"/>
      <c r="N55" s="35" t="s">
        <v>115</v>
      </c>
      <c r="O55" s="38">
        <v>0.5</v>
      </c>
      <c r="P55" s="60"/>
      <c r="Q55" s="35" t="s">
        <v>115</v>
      </c>
      <c r="R55" s="38">
        <v>0.5</v>
      </c>
      <c r="S55" s="60"/>
      <c r="T55" s="35" t="s">
        <v>115</v>
      </c>
      <c r="U55" s="38">
        <v>0.5</v>
      </c>
      <c r="V55" s="60"/>
      <c r="W55" s="35" t="s">
        <v>115</v>
      </c>
      <c r="X55" s="38">
        <v>0.5</v>
      </c>
      <c r="Y55" s="60"/>
      <c r="Z55" s="35" t="s">
        <v>115</v>
      </c>
      <c r="AA55" s="38">
        <v>0.5</v>
      </c>
      <c r="AB55" s="60"/>
      <c r="AC55" s="35" t="s">
        <v>115</v>
      </c>
      <c r="AD55" s="38">
        <v>0.5</v>
      </c>
      <c r="AE55" s="60"/>
    </row>
    <row r="56" spans="1:31" x14ac:dyDescent="0.25">
      <c r="B56" s="72" t="s">
        <v>713</v>
      </c>
      <c r="C56" s="38">
        <v>1.19</v>
      </c>
      <c r="D56" s="60"/>
      <c r="E56" s="35" t="s">
        <v>111</v>
      </c>
      <c r="F56" s="38">
        <v>0.2</v>
      </c>
      <c r="G56" s="60"/>
      <c r="H56" s="35" t="s">
        <v>111</v>
      </c>
      <c r="I56" s="38">
        <v>0.2</v>
      </c>
      <c r="J56" s="60"/>
      <c r="K56" s="35" t="s">
        <v>111</v>
      </c>
      <c r="L56" s="38">
        <v>0.2</v>
      </c>
      <c r="M56" s="60"/>
      <c r="N56" s="35" t="s">
        <v>111</v>
      </c>
      <c r="O56" s="38">
        <v>0.2</v>
      </c>
      <c r="P56" s="60"/>
      <c r="Q56" s="35" t="s">
        <v>111</v>
      </c>
      <c r="R56" s="38">
        <v>0.2</v>
      </c>
      <c r="S56" s="60"/>
      <c r="T56" s="35" t="s">
        <v>111</v>
      </c>
      <c r="U56" s="38">
        <v>0.2</v>
      </c>
      <c r="V56" s="60"/>
      <c r="W56" s="35" t="s">
        <v>111</v>
      </c>
      <c r="X56" s="38">
        <v>0.2</v>
      </c>
      <c r="Y56" s="60"/>
      <c r="Z56" s="35" t="s">
        <v>111</v>
      </c>
      <c r="AA56" s="38">
        <v>0.2</v>
      </c>
      <c r="AB56" s="60"/>
      <c r="AC56" s="35" t="s">
        <v>111</v>
      </c>
      <c r="AD56" s="38">
        <v>0.2</v>
      </c>
      <c r="AE56" s="60"/>
    </row>
    <row r="57" spans="1:31" x14ac:dyDescent="0.25">
      <c r="A57" t="s">
        <v>809</v>
      </c>
      <c r="B57" s="35" t="s">
        <v>570</v>
      </c>
      <c r="C57" s="38">
        <v>0.48</v>
      </c>
      <c r="D57" s="60"/>
      <c r="E57" s="35" t="s">
        <v>176</v>
      </c>
      <c r="F57" s="38">
        <v>1.25</v>
      </c>
      <c r="G57" s="60"/>
      <c r="H57" s="35" t="s">
        <v>176</v>
      </c>
      <c r="I57" s="38">
        <v>1.25</v>
      </c>
      <c r="J57" s="60"/>
      <c r="K57" s="35" t="s">
        <v>176</v>
      </c>
      <c r="L57" s="38">
        <v>1.25</v>
      </c>
      <c r="M57" s="60"/>
      <c r="N57" s="35" t="s">
        <v>176</v>
      </c>
      <c r="O57" s="38">
        <v>1.25</v>
      </c>
      <c r="P57" s="60"/>
      <c r="Q57" s="35" t="s">
        <v>176</v>
      </c>
      <c r="R57" s="38">
        <v>1.25</v>
      </c>
      <c r="S57" s="60"/>
      <c r="T57" s="35" t="s">
        <v>176</v>
      </c>
      <c r="U57" s="38">
        <v>1.25</v>
      </c>
      <c r="V57" s="60"/>
      <c r="W57" s="35" t="s">
        <v>176</v>
      </c>
      <c r="X57" s="38">
        <v>1.25</v>
      </c>
      <c r="Y57" s="60"/>
      <c r="Z57" s="35" t="s">
        <v>176</v>
      </c>
      <c r="AA57" s="38">
        <v>1.25</v>
      </c>
      <c r="AB57" s="60"/>
      <c r="AC57" s="35" t="s">
        <v>176</v>
      </c>
      <c r="AD57" s="38">
        <v>1.25</v>
      </c>
      <c r="AE57" s="60"/>
    </row>
    <row r="58" spans="1:31" x14ac:dyDescent="0.25">
      <c r="A58" t="s">
        <v>809</v>
      </c>
      <c r="B58" s="35" t="s">
        <v>637</v>
      </c>
      <c r="C58" s="38">
        <v>0.83</v>
      </c>
      <c r="D58" s="60"/>
      <c r="E58" s="35" t="s">
        <v>116</v>
      </c>
      <c r="F58" s="38">
        <v>0.36</v>
      </c>
      <c r="G58" s="60"/>
      <c r="H58" s="35" t="s">
        <v>116</v>
      </c>
      <c r="I58" s="38">
        <v>0.36</v>
      </c>
      <c r="J58" s="60"/>
      <c r="K58" s="35" t="s">
        <v>116</v>
      </c>
      <c r="L58" s="38">
        <v>0.36</v>
      </c>
      <c r="M58" s="60"/>
      <c r="N58" s="35" t="s">
        <v>116</v>
      </c>
      <c r="O58" s="38">
        <v>0.36</v>
      </c>
      <c r="P58" s="60"/>
      <c r="Q58" s="35" t="s">
        <v>116</v>
      </c>
      <c r="R58" s="38">
        <v>0.36</v>
      </c>
      <c r="S58" s="60"/>
      <c r="T58" s="35" t="s">
        <v>116</v>
      </c>
      <c r="U58" s="38">
        <v>0.36</v>
      </c>
      <c r="V58" s="60"/>
      <c r="W58" s="35" t="s">
        <v>116</v>
      </c>
      <c r="X58" s="38">
        <v>0.36</v>
      </c>
      <c r="Y58" s="60"/>
      <c r="Z58" s="35" t="s">
        <v>116</v>
      </c>
      <c r="AA58" s="38">
        <v>0.36</v>
      </c>
      <c r="AB58" s="60"/>
      <c r="AC58" s="35" t="s">
        <v>116</v>
      </c>
      <c r="AD58" s="38">
        <v>0.36</v>
      </c>
      <c r="AE58" s="60"/>
    </row>
    <row r="59" spans="1:31" x14ac:dyDescent="0.25">
      <c r="B59" s="35" t="s">
        <v>313</v>
      </c>
      <c r="C59" s="38">
        <v>0.21</v>
      </c>
      <c r="D59" s="60"/>
      <c r="E59" s="35" t="s">
        <v>177</v>
      </c>
      <c r="F59" s="38">
        <v>0.2</v>
      </c>
      <c r="G59" s="60"/>
      <c r="H59" s="35" t="s">
        <v>177</v>
      </c>
      <c r="I59" s="38">
        <v>0.2</v>
      </c>
      <c r="J59" s="60"/>
      <c r="K59" s="35" t="s">
        <v>177</v>
      </c>
      <c r="L59" s="38">
        <v>0.2</v>
      </c>
      <c r="M59" s="60"/>
      <c r="N59" s="35" t="s">
        <v>177</v>
      </c>
      <c r="O59" s="38">
        <v>0.2</v>
      </c>
      <c r="P59" s="60"/>
      <c r="Q59" s="35" t="s">
        <v>177</v>
      </c>
      <c r="R59" s="38">
        <v>0.2</v>
      </c>
      <c r="S59" s="60"/>
      <c r="T59" s="35" t="s">
        <v>177</v>
      </c>
      <c r="U59" s="38">
        <v>0.2</v>
      </c>
      <c r="V59" s="60"/>
      <c r="W59" s="35" t="s">
        <v>177</v>
      </c>
      <c r="X59" s="38">
        <v>0.2</v>
      </c>
      <c r="Y59" s="60"/>
      <c r="Z59" s="35" t="s">
        <v>177</v>
      </c>
      <c r="AA59" s="38">
        <v>0.2</v>
      </c>
      <c r="AB59" s="60"/>
      <c r="AC59" s="35" t="s">
        <v>177</v>
      </c>
      <c r="AD59" s="38">
        <v>0.2</v>
      </c>
      <c r="AE59" s="60"/>
    </row>
    <row r="60" spans="1:31" x14ac:dyDescent="0.25">
      <c r="A60" t="s">
        <v>809</v>
      </c>
      <c r="B60" s="35" t="s">
        <v>648</v>
      </c>
      <c r="C60" s="38">
        <v>0.3</v>
      </c>
      <c r="D60" s="60"/>
      <c r="E60" s="35"/>
      <c r="F60" s="38"/>
      <c r="G60" s="60"/>
      <c r="H60" s="35"/>
      <c r="I60" s="38"/>
      <c r="J60" s="60"/>
      <c r="K60" s="35"/>
      <c r="L60" s="38"/>
      <c r="M60" s="60"/>
      <c r="N60" s="35"/>
      <c r="O60" s="38"/>
      <c r="P60" s="60"/>
      <c r="Q60" s="35"/>
      <c r="R60" s="38"/>
      <c r="S60" s="60"/>
      <c r="T60" s="35"/>
      <c r="U60" s="38"/>
      <c r="V60" s="60"/>
      <c r="W60" s="35"/>
      <c r="X60" s="38"/>
      <c r="Y60" s="60"/>
      <c r="Z60" s="35"/>
      <c r="AA60" s="38"/>
      <c r="AB60" s="60"/>
      <c r="AC60" s="35"/>
      <c r="AD60" s="38"/>
      <c r="AE60" s="60"/>
    </row>
    <row r="61" spans="1:31" x14ac:dyDescent="0.25">
      <c r="A61" t="s">
        <v>809</v>
      </c>
      <c r="B61" s="35" t="s">
        <v>707</v>
      </c>
      <c r="C61" s="38">
        <v>0</v>
      </c>
      <c r="D61" s="60"/>
      <c r="E61" s="35"/>
      <c r="F61" s="38"/>
      <c r="G61" s="60"/>
      <c r="H61" s="35"/>
      <c r="I61" s="38"/>
      <c r="J61" s="60"/>
      <c r="K61" s="35"/>
      <c r="L61" s="38"/>
      <c r="M61" s="60"/>
      <c r="N61" s="35"/>
      <c r="O61" s="38"/>
      <c r="P61" s="60"/>
      <c r="Q61" s="35"/>
      <c r="R61" s="38"/>
      <c r="S61" s="60"/>
      <c r="T61" s="35"/>
      <c r="U61" s="38"/>
      <c r="V61" s="60"/>
      <c r="W61" s="35"/>
      <c r="X61" s="38"/>
      <c r="Y61" s="60"/>
      <c r="Z61" s="35"/>
      <c r="AA61" s="38"/>
      <c r="AB61" s="60"/>
      <c r="AC61" s="35"/>
      <c r="AD61" s="38"/>
      <c r="AE61" s="60"/>
    </row>
    <row r="62" spans="1:31" x14ac:dyDescent="0.25">
      <c r="B62" s="10" t="s">
        <v>178</v>
      </c>
      <c r="C62" s="73">
        <f>SUM(C47:C61)</f>
        <v>99.999999999999986</v>
      </c>
      <c r="D62" s="64" t="str">
        <f>IF(C62=100,"","warning")</f>
        <v/>
      </c>
      <c r="E62" s="10" t="s">
        <v>178</v>
      </c>
      <c r="F62" s="58">
        <f>SUM(F47:F59)</f>
        <v>99.999999999999986</v>
      </c>
      <c r="G62" s="64" t="str">
        <f>IF(F62=100,"","warning")</f>
        <v/>
      </c>
      <c r="H62" s="10" t="s">
        <v>178</v>
      </c>
      <c r="I62" s="58">
        <f>SUM(I47:I59)</f>
        <v>99.999999999999986</v>
      </c>
      <c r="J62" s="64" t="str">
        <f>IF(I62=100,"","warning")</f>
        <v/>
      </c>
      <c r="K62" s="10" t="s">
        <v>178</v>
      </c>
      <c r="L62" s="58">
        <f>SUM(L47:L59)</f>
        <v>99.999999999999986</v>
      </c>
      <c r="M62" s="64" t="str">
        <f>IF(L62=100,"","warning")</f>
        <v/>
      </c>
      <c r="N62" s="10" t="s">
        <v>178</v>
      </c>
      <c r="O62" s="58">
        <f>SUM(O47:O59)</f>
        <v>99.999999999999986</v>
      </c>
      <c r="P62" s="64" t="str">
        <f>IF(O62=100,"","warning")</f>
        <v/>
      </c>
      <c r="Q62" s="10" t="s">
        <v>178</v>
      </c>
      <c r="R62" s="58">
        <f>SUM(R47:R59)</f>
        <v>99.999999999999986</v>
      </c>
      <c r="S62" s="64" t="str">
        <f>IF(R62=100,"","warning")</f>
        <v/>
      </c>
      <c r="T62" s="10" t="s">
        <v>178</v>
      </c>
      <c r="U62" s="58">
        <f>SUM(U47:U59)</f>
        <v>99.999999999999986</v>
      </c>
      <c r="V62" s="64" t="str">
        <f>IF(U62=100,"","warning")</f>
        <v/>
      </c>
      <c r="W62" s="10" t="s">
        <v>178</v>
      </c>
      <c r="X62" s="58">
        <f>SUM(X47:X59)</f>
        <v>99.999999999999986</v>
      </c>
      <c r="Y62" s="64" t="str">
        <f>IF(X62=100,"","warning")</f>
        <v/>
      </c>
      <c r="Z62" s="10" t="s">
        <v>178</v>
      </c>
      <c r="AA62" s="58">
        <f>SUM(AA47:AA59)</f>
        <v>99.999999999999986</v>
      </c>
      <c r="AB62" s="64" t="str">
        <f>IF(AA62=100,"","warning")</f>
        <v/>
      </c>
      <c r="AC62" s="10" t="s">
        <v>178</v>
      </c>
      <c r="AD62" s="58">
        <f>SUM(AD47:AD59)</f>
        <v>99.999999999999986</v>
      </c>
      <c r="AE62" s="64" t="str">
        <f>IF(AD62=100,"","warning")</f>
        <v/>
      </c>
    </row>
    <row r="63" spans="1:31" x14ac:dyDescent="0.25">
      <c r="B63" s="9"/>
      <c r="C63" s="14"/>
      <c r="D63" s="14"/>
      <c r="E63" s="9"/>
      <c r="F63" s="14"/>
      <c r="G63" s="14"/>
      <c r="H63" s="9"/>
      <c r="I63" s="14"/>
      <c r="J63" s="14"/>
      <c r="K63" s="9"/>
      <c r="L63" s="14"/>
      <c r="M63" s="14"/>
      <c r="N63" s="9"/>
      <c r="O63" s="14"/>
      <c r="P63" s="14"/>
      <c r="Q63" s="9"/>
      <c r="R63" s="14"/>
      <c r="S63" s="14"/>
      <c r="T63" s="9"/>
      <c r="U63" s="14"/>
      <c r="V63" s="14"/>
      <c r="W63" s="9"/>
      <c r="X63" s="14"/>
      <c r="Y63" s="14"/>
      <c r="Z63" s="9"/>
      <c r="AA63" s="14"/>
      <c r="AB63" s="14"/>
      <c r="AC63" s="9"/>
      <c r="AD63" s="14"/>
      <c r="AE63" s="14"/>
    </row>
    <row r="64" spans="1:31" x14ac:dyDescent="0.25">
      <c r="B64" s="24" t="s">
        <v>179</v>
      </c>
      <c r="C64" s="21"/>
      <c r="D64" s="62"/>
      <c r="E64" s="24" t="s">
        <v>179</v>
      </c>
      <c r="F64" s="21"/>
      <c r="G64" s="62"/>
      <c r="H64" s="24" t="s">
        <v>179</v>
      </c>
      <c r="I64" s="21"/>
      <c r="J64" s="62"/>
      <c r="K64" s="24" t="s">
        <v>179</v>
      </c>
      <c r="L64" s="21"/>
      <c r="M64" s="62"/>
      <c r="N64" s="24" t="s">
        <v>179</v>
      </c>
      <c r="O64" s="21"/>
      <c r="P64" s="62"/>
      <c r="Q64" s="24" t="s">
        <v>179</v>
      </c>
      <c r="R64" s="21"/>
      <c r="S64" s="62"/>
      <c r="T64" s="24" t="s">
        <v>179</v>
      </c>
      <c r="U64" s="21"/>
      <c r="V64" s="62"/>
      <c r="W64" s="24" t="s">
        <v>179</v>
      </c>
      <c r="X64" s="21"/>
      <c r="Y64" s="62"/>
      <c r="Z64" s="24" t="s">
        <v>179</v>
      </c>
      <c r="AA64" s="21"/>
      <c r="AB64" s="62"/>
      <c r="AC64" s="24" t="s">
        <v>179</v>
      </c>
      <c r="AD64" s="21"/>
      <c r="AE64" s="62"/>
    </row>
    <row r="65" spans="2:31" x14ac:dyDescent="0.25">
      <c r="B65" s="27" t="s">
        <v>180</v>
      </c>
      <c r="C65" s="36" t="str">
        <f>IF(ISBLANK(D65), "none", D65)</f>
        <v>none</v>
      </c>
      <c r="D65" s="60" t="s">
        <v>181</v>
      </c>
      <c r="E65" s="27" t="s">
        <v>180</v>
      </c>
      <c r="F65" s="36" t="str">
        <f>IF(ISBLANK(G65), "none", G65)</f>
        <v>none</v>
      </c>
      <c r="G65" s="60" t="s">
        <v>181</v>
      </c>
      <c r="H65" s="27" t="s">
        <v>180</v>
      </c>
      <c r="I65" s="36" t="str">
        <f>IF(ISBLANK(J65), "none", J65)</f>
        <v>none</v>
      </c>
      <c r="J65" s="60" t="s">
        <v>181</v>
      </c>
      <c r="K65" s="27" t="s">
        <v>180</v>
      </c>
      <c r="L65" s="36" t="str">
        <f>IF(ISBLANK(M65), "none", M65)</f>
        <v>none</v>
      </c>
      <c r="M65" s="60" t="s">
        <v>181</v>
      </c>
      <c r="N65" s="27" t="s">
        <v>180</v>
      </c>
      <c r="O65" s="36" t="str">
        <f>IF(ISBLANK(P65), "none", P65)</f>
        <v>none</v>
      </c>
      <c r="P65" s="60" t="s">
        <v>181</v>
      </c>
      <c r="Q65" s="27" t="s">
        <v>180</v>
      </c>
      <c r="R65" s="36" t="str">
        <f>IF(ISBLANK(S65), "none", S65)</f>
        <v>none</v>
      </c>
      <c r="S65" s="60" t="s">
        <v>181</v>
      </c>
      <c r="T65" s="27" t="s">
        <v>180</v>
      </c>
      <c r="U65" s="36" t="str">
        <f>IF(ISBLANK(V65), "none", V65)</f>
        <v>none</v>
      </c>
      <c r="V65" s="60" t="s">
        <v>181</v>
      </c>
      <c r="W65" s="27" t="s">
        <v>180</v>
      </c>
      <c r="X65" s="36" t="str">
        <f>IF(ISBLANK(Y65), "none", Y65)</f>
        <v>none</v>
      </c>
      <c r="Y65" s="60" t="s">
        <v>181</v>
      </c>
      <c r="Z65" s="27" t="s">
        <v>180</v>
      </c>
      <c r="AA65" s="36" t="str">
        <f>IF(ISBLANK(AB65), "none", AB65)</f>
        <v>none</v>
      </c>
      <c r="AB65" s="60" t="s">
        <v>181</v>
      </c>
      <c r="AC65" s="27" t="s">
        <v>180</v>
      </c>
      <c r="AD65" s="36" t="str">
        <f>IF(ISBLANK(AE65), "none", AE65)</f>
        <v>none</v>
      </c>
      <c r="AE65" s="60" t="s">
        <v>181</v>
      </c>
    </row>
    <row r="66" spans="2:31" ht="17.25" x14ac:dyDescent="0.25">
      <c r="B66" s="27" t="s">
        <v>131</v>
      </c>
      <c r="C66" s="21">
        <f>IF(COUNT(D66)=1,D66,6)</f>
        <v>6</v>
      </c>
      <c r="D66" s="60"/>
      <c r="E66" s="27" t="s">
        <v>131</v>
      </c>
      <c r="F66" s="21">
        <f>IF(COUNT(G66)=1,G66,6)</f>
        <v>6</v>
      </c>
      <c r="G66" s="60"/>
      <c r="H66" s="27" t="s">
        <v>131</v>
      </c>
      <c r="I66" s="21">
        <f>IF(COUNT(J66)=1,J66,6)</f>
        <v>6</v>
      </c>
      <c r="J66" s="60"/>
      <c r="K66" s="27" t="s">
        <v>131</v>
      </c>
      <c r="L66" s="21">
        <f>IF(COUNT(M66)=1,M66,6)</f>
        <v>6</v>
      </c>
      <c r="M66" s="60"/>
      <c r="N66" s="27" t="s">
        <v>131</v>
      </c>
      <c r="O66" s="21">
        <f>IF(COUNT(P66)=1,P66,6)</f>
        <v>6</v>
      </c>
      <c r="P66" s="60"/>
      <c r="Q66" s="27" t="s">
        <v>131</v>
      </c>
      <c r="R66" s="21">
        <f>IF(COUNT(S66)=1,S66,6)</f>
        <v>6</v>
      </c>
      <c r="S66" s="60"/>
      <c r="T66" s="27" t="s">
        <v>131</v>
      </c>
      <c r="U66" s="21">
        <f>IF(COUNT(V66)=1,V66,6)</f>
        <v>6</v>
      </c>
      <c r="V66" s="60"/>
      <c r="W66" s="27" t="s">
        <v>131</v>
      </c>
      <c r="X66" s="21">
        <f>IF(COUNT(Y66)=1,Y66,6)</f>
        <v>6</v>
      </c>
      <c r="Y66" s="60"/>
      <c r="Z66" s="27" t="s">
        <v>131</v>
      </c>
      <c r="AA66" s="21">
        <f>IF(COUNT(AB66)=1,AB66,6)</f>
        <v>6</v>
      </c>
      <c r="AB66" s="60"/>
      <c r="AC66" s="27" t="s">
        <v>131</v>
      </c>
      <c r="AD66" s="21">
        <f>IF(COUNT(AE66)=1,AE66,6)</f>
        <v>6</v>
      </c>
      <c r="AE66" s="60"/>
    </row>
    <row r="67" spans="2:31" x14ac:dyDescent="0.25">
      <c r="B67" s="27" t="s">
        <v>182</v>
      </c>
      <c r="C67" s="36" t="str">
        <f>IF(ISBLANK(D67), "none", D67)</f>
        <v>none</v>
      </c>
      <c r="D67" s="60" t="s">
        <v>181</v>
      </c>
      <c r="E67" s="27" t="s">
        <v>182</v>
      </c>
      <c r="F67" s="36" t="str">
        <f>IF(ISBLANK(G67), "none", G67)</f>
        <v>none</v>
      </c>
      <c r="G67" s="60" t="s">
        <v>181</v>
      </c>
      <c r="H67" s="27" t="s">
        <v>182</v>
      </c>
      <c r="I67" s="36" t="str">
        <f>IF(ISBLANK(J67), "none", J67)</f>
        <v>none</v>
      </c>
      <c r="J67" s="60" t="s">
        <v>181</v>
      </c>
      <c r="K67" s="27" t="s">
        <v>182</v>
      </c>
      <c r="L67" s="36" t="str">
        <f>IF(ISBLANK(M67), "none", M67)</f>
        <v>none</v>
      </c>
      <c r="M67" s="60" t="s">
        <v>181</v>
      </c>
      <c r="N67" s="27" t="s">
        <v>182</v>
      </c>
      <c r="O67" s="36" t="str">
        <f>IF(ISBLANK(P67), "none", P67)</f>
        <v>none</v>
      </c>
      <c r="P67" s="60" t="s">
        <v>181</v>
      </c>
      <c r="Q67" s="27" t="s">
        <v>182</v>
      </c>
      <c r="R67" s="36" t="str">
        <f>IF(ISBLANK(S67), "none", S67)</f>
        <v>none</v>
      </c>
      <c r="S67" s="60" t="s">
        <v>181</v>
      </c>
      <c r="T67" s="27" t="s">
        <v>182</v>
      </c>
      <c r="U67" s="36" t="str">
        <f>IF(ISBLANK(V67), "none", V67)</f>
        <v>none</v>
      </c>
      <c r="V67" s="60" t="s">
        <v>181</v>
      </c>
      <c r="W67" s="27" t="s">
        <v>182</v>
      </c>
      <c r="X67" s="36" t="str">
        <f>IF(ISBLANK(Y67), "none", Y67)</f>
        <v>none</v>
      </c>
      <c r="Y67" s="60" t="s">
        <v>181</v>
      </c>
      <c r="Z67" s="27" t="s">
        <v>182</v>
      </c>
      <c r="AA67" s="36" t="str">
        <f>IF(ISBLANK(AB67), "none", AB67)</f>
        <v>none</v>
      </c>
      <c r="AB67" s="60" t="s">
        <v>181</v>
      </c>
      <c r="AC67" s="27" t="s">
        <v>182</v>
      </c>
      <c r="AD67" s="36" t="str">
        <f>IF(ISBLANK(AE67), "none", AE67)</f>
        <v>none</v>
      </c>
      <c r="AE67" s="60" t="s">
        <v>181</v>
      </c>
    </row>
    <row r="68" spans="2:31" x14ac:dyDescent="0.25">
      <c r="B68" s="27" t="s">
        <v>183</v>
      </c>
      <c r="C68" s="21">
        <f>IF(COUNT(D68)=1,D68,45)</f>
        <v>45</v>
      </c>
      <c r="D68" s="60"/>
      <c r="E68" s="27" t="s">
        <v>183</v>
      </c>
      <c r="F68" s="21">
        <f>IF(COUNT(G68)=1,G68,45)</f>
        <v>45</v>
      </c>
      <c r="G68" s="60"/>
      <c r="H68" s="27" t="s">
        <v>183</v>
      </c>
      <c r="I68" s="21">
        <f>IF(COUNT(J68)=1,J68,45)</f>
        <v>45</v>
      </c>
      <c r="J68" s="60"/>
      <c r="K68" s="27" t="s">
        <v>183</v>
      </c>
      <c r="L68" s="21">
        <f>IF(COUNT(M68)=1,M68,45)</f>
        <v>45</v>
      </c>
      <c r="M68" s="60"/>
      <c r="N68" s="27" t="s">
        <v>183</v>
      </c>
      <c r="O68" s="21">
        <f>IF(COUNT(P68)=1,P68,45)</f>
        <v>45</v>
      </c>
      <c r="P68" s="60"/>
      <c r="Q68" s="27" t="s">
        <v>183</v>
      </c>
      <c r="R68" s="21">
        <f>IF(COUNT(S68)=1,S68,45)</f>
        <v>45</v>
      </c>
      <c r="S68" s="60"/>
      <c r="T68" s="27" t="s">
        <v>183</v>
      </c>
      <c r="U68" s="21">
        <f>IF(COUNT(V68)=1,V68,45)</f>
        <v>45</v>
      </c>
      <c r="V68" s="60"/>
      <c r="W68" s="27" t="s">
        <v>183</v>
      </c>
      <c r="X68" s="21">
        <f>IF(COUNT(Y68)=1,Y68,45)</f>
        <v>45</v>
      </c>
      <c r="Y68" s="60"/>
      <c r="Z68" s="27" t="s">
        <v>183</v>
      </c>
      <c r="AA68" s="21">
        <f>IF(COUNT(AB68)=1,AB68,45)</f>
        <v>45</v>
      </c>
      <c r="AB68" s="60"/>
      <c r="AC68" s="27" t="s">
        <v>183</v>
      </c>
      <c r="AD68" s="21">
        <f>IF(COUNT(AE68)=1,AE68,45)</f>
        <v>45</v>
      </c>
      <c r="AE68" s="60"/>
    </row>
    <row r="69" spans="2:31" x14ac:dyDescent="0.25">
      <c r="B69" s="27" t="s">
        <v>184</v>
      </c>
      <c r="C69" s="36" t="str">
        <f>IF(ISBLANK(D69), "none", D69)</f>
        <v>none</v>
      </c>
      <c r="D69" s="60" t="s">
        <v>181</v>
      </c>
      <c r="E69" s="27" t="s">
        <v>184</v>
      </c>
      <c r="F69" s="36" t="str">
        <f>IF(ISBLANK(G69), "none", G69)</f>
        <v>none</v>
      </c>
      <c r="G69" s="60" t="s">
        <v>181</v>
      </c>
      <c r="H69" s="27" t="s">
        <v>184</v>
      </c>
      <c r="I69" s="36" t="str">
        <f>IF(ISBLANK(J69), "none", J69)</f>
        <v>none</v>
      </c>
      <c r="J69" s="60" t="s">
        <v>181</v>
      </c>
      <c r="K69" s="27" t="s">
        <v>184</v>
      </c>
      <c r="L69" s="36" t="str">
        <f>IF(ISBLANK(M69), "none", M69)</f>
        <v>none</v>
      </c>
      <c r="M69" s="60" t="s">
        <v>181</v>
      </c>
      <c r="N69" s="27" t="s">
        <v>184</v>
      </c>
      <c r="O69" s="36" t="str">
        <f>IF(ISBLANK(P69), "none", P69)</f>
        <v>none</v>
      </c>
      <c r="P69" s="60" t="s">
        <v>181</v>
      </c>
      <c r="Q69" s="27" t="s">
        <v>184</v>
      </c>
      <c r="R69" s="36" t="str">
        <f>IF(ISBLANK(S69), "none", S69)</f>
        <v>none</v>
      </c>
      <c r="S69" s="60" t="s">
        <v>181</v>
      </c>
      <c r="T69" s="27" t="s">
        <v>184</v>
      </c>
      <c r="U69" s="36" t="str">
        <f>IF(ISBLANK(V69), "none", V69)</f>
        <v>none</v>
      </c>
      <c r="V69" s="60" t="s">
        <v>181</v>
      </c>
      <c r="W69" s="27" t="s">
        <v>184</v>
      </c>
      <c r="X69" s="36" t="str">
        <f>IF(ISBLANK(Y69), "none", Y69)</f>
        <v>none</v>
      </c>
      <c r="Y69" s="60" t="s">
        <v>181</v>
      </c>
      <c r="Z69" s="27" t="s">
        <v>184</v>
      </c>
      <c r="AA69" s="36" t="str">
        <f>IF(ISBLANK(AB69), "none", AB69)</f>
        <v>none</v>
      </c>
      <c r="AB69" s="60" t="s">
        <v>181</v>
      </c>
      <c r="AC69" s="27" t="s">
        <v>184</v>
      </c>
      <c r="AD69" s="36" t="str">
        <f>IF(ISBLANK(AE69), "none", AE69)</f>
        <v>none</v>
      </c>
      <c r="AE69" s="60" t="s">
        <v>181</v>
      </c>
    </row>
    <row r="70" spans="2:31" ht="17.25" x14ac:dyDescent="0.25">
      <c r="B70" s="27" t="s">
        <v>185</v>
      </c>
      <c r="C70" s="22">
        <f>IF(COUNT(D70)=1,D70,20)</f>
        <v>20</v>
      </c>
      <c r="D70" s="60"/>
      <c r="E70" s="27" t="s">
        <v>185</v>
      </c>
      <c r="F70" s="22">
        <f>IF(COUNT(G70)=1,G70,20)</f>
        <v>20</v>
      </c>
      <c r="G70" s="60"/>
      <c r="H70" s="27" t="s">
        <v>185</v>
      </c>
      <c r="I70" s="22">
        <f>IF(COUNT(J70)=1,J70,20)</f>
        <v>20</v>
      </c>
      <c r="J70" s="60"/>
      <c r="K70" s="27" t="s">
        <v>185</v>
      </c>
      <c r="L70" s="22">
        <f>IF(COUNT(M70)=1,M70,20)</f>
        <v>20</v>
      </c>
      <c r="M70" s="60"/>
      <c r="N70" s="27" t="s">
        <v>185</v>
      </c>
      <c r="O70" s="22">
        <f>IF(COUNT(P70)=1,P70,20)</f>
        <v>20</v>
      </c>
      <c r="P70" s="60"/>
      <c r="Q70" s="27" t="s">
        <v>185</v>
      </c>
      <c r="R70" s="22">
        <f>IF(COUNT(S70)=1,S70,20)</f>
        <v>20</v>
      </c>
      <c r="S70" s="60"/>
      <c r="T70" s="27" t="s">
        <v>185</v>
      </c>
      <c r="U70" s="22">
        <f>IF(COUNT(V70)=1,V70,20)</f>
        <v>20</v>
      </c>
      <c r="V70" s="60"/>
      <c r="W70" s="27" t="s">
        <v>185</v>
      </c>
      <c r="X70" s="22">
        <f>IF(COUNT(Y70)=1,Y70,20)</f>
        <v>20</v>
      </c>
      <c r="Y70" s="60"/>
      <c r="Z70" s="27" t="s">
        <v>185</v>
      </c>
      <c r="AA70" s="22">
        <f>IF(COUNT(AB70)=1,AB70,20)</f>
        <v>20</v>
      </c>
      <c r="AB70" s="60"/>
      <c r="AC70" s="27" t="s">
        <v>185</v>
      </c>
      <c r="AD70" s="22">
        <f>IF(COUNT(AE70)=1,AE70,20)</f>
        <v>20</v>
      </c>
      <c r="AE70" s="60"/>
    </row>
    <row r="71" spans="2:31" ht="17.25" x14ac:dyDescent="0.25">
      <c r="B71" s="27" t="s">
        <v>186</v>
      </c>
      <c r="C71" s="22">
        <f>IF(COUNT(D71)=1,D71,365)</f>
        <v>365</v>
      </c>
      <c r="D71" s="63"/>
      <c r="E71" s="27" t="s">
        <v>186</v>
      </c>
      <c r="F71" s="22">
        <f>IF(COUNT(G71)=1,G71,365)</f>
        <v>365</v>
      </c>
      <c r="G71" s="63"/>
      <c r="H71" s="27" t="s">
        <v>186</v>
      </c>
      <c r="I71" s="22">
        <f>IF(COUNT(J71)=1,J71,365)</f>
        <v>365</v>
      </c>
      <c r="J71" s="63"/>
      <c r="K71" s="27" t="s">
        <v>186</v>
      </c>
      <c r="L71" s="22">
        <f>IF(COUNT(M71)=1,M71,365)</f>
        <v>365</v>
      </c>
      <c r="M71" s="63"/>
      <c r="N71" s="27" t="s">
        <v>186</v>
      </c>
      <c r="O71" s="22">
        <f>IF(COUNT(P71)=1,P71,365)</f>
        <v>365</v>
      </c>
      <c r="P71" s="63"/>
      <c r="Q71" s="27" t="s">
        <v>186</v>
      </c>
      <c r="R71" s="22">
        <f>IF(COUNT(S71)=1,S71,365)</f>
        <v>365</v>
      </c>
      <c r="S71" s="63"/>
      <c r="T71" s="27" t="s">
        <v>186</v>
      </c>
      <c r="U71" s="22">
        <f>IF(COUNT(V71)=1,V71,365)</f>
        <v>365</v>
      </c>
      <c r="V71" s="63"/>
      <c r="W71" s="27" t="s">
        <v>186</v>
      </c>
      <c r="X71" s="22">
        <f>IF(COUNT(Y71)=1,Y71,365)</f>
        <v>365</v>
      </c>
      <c r="Y71" s="63"/>
      <c r="Z71" s="27" t="s">
        <v>186</v>
      </c>
      <c r="AA71" s="22">
        <f>IF(COUNT(AB71)=1,AB71,365)</f>
        <v>365</v>
      </c>
      <c r="AB71" s="63"/>
      <c r="AC71" s="27" t="s">
        <v>186</v>
      </c>
      <c r="AD71" s="22">
        <f>IF(COUNT(AE71)=1,AE71,365)</f>
        <v>365</v>
      </c>
      <c r="AE71" s="63"/>
    </row>
    <row r="72" spans="2:31" x14ac:dyDescent="0.25">
      <c r="B72" s="27" t="s">
        <v>187</v>
      </c>
      <c r="C72" s="36" t="str">
        <f>IF(ISBLANK(D72), "none", D72)</f>
        <v>none</v>
      </c>
      <c r="D72" s="60" t="s">
        <v>181</v>
      </c>
      <c r="E72" s="27" t="s">
        <v>187</v>
      </c>
      <c r="F72" s="36" t="str">
        <f>IF(ISBLANK(G72), "none", G72)</f>
        <v>none</v>
      </c>
      <c r="G72" s="60" t="s">
        <v>181</v>
      </c>
      <c r="H72" s="27" t="s">
        <v>187</v>
      </c>
      <c r="I72" s="36" t="str">
        <f>IF(ISBLANK(J72), "none", J72)</f>
        <v>none</v>
      </c>
      <c r="J72" s="60" t="s">
        <v>181</v>
      </c>
      <c r="K72" s="27" t="s">
        <v>187</v>
      </c>
      <c r="L72" s="36" t="str">
        <f>IF(ISBLANK(M72), "none", M72)</f>
        <v>none</v>
      </c>
      <c r="M72" s="60" t="s">
        <v>181</v>
      </c>
      <c r="N72" s="27" t="s">
        <v>187</v>
      </c>
      <c r="O72" s="36" t="str">
        <f>IF(ISBLANK(P72), "none", P72)</f>
        <v>none</v>
      </c>
      <c r="P72" s="60" t="s">
        <v>181</v>
      </c>
      <c r="Q72" s="27" t="s">
        <v>187</v>
      </c>
      <c r="R72" s="36" t="str">
        <f>IF(ISBLANK(S72), "none", S72)</f>
        <v>none</v>
      </c>
      <c r="S72" s="60" t="s">
        <v>181</v>
      </c>
      <c r="T72" s="27" t="s">
        <v>187</v>
      </c>
      <c r="U72" s="36" t="str">
        <f>IF(ISBLANK(V72), "none", V72)</f>
        <v>none</v>
      </c>
      <c r="V72" s="60" t="s">
        <v>181</v>
      </c>
      <c r="W72" s="27" t="s">
        <v>187</v>
      </c>
      <c r="X72" s="36" t="str">
        <f>IF(ISBLANK(Y72), "none", Y72)</f>
        <v>none</v>
      </c>
      <c r="Y72" s="60" t="s">
        <v>181</v>
      </c>
      <c r="Z72" s="27" t="s">
        <v>187</v>
      </c>
      <c r="AA72" s="36" t="str">
        <f>IF(ISBLANK(AB72), "none", AB72)</f>
        <v>none</v>
      </c>
      <c r="AB72" s="60" t="s">
        <v>181</v>
      </c>
      <c r="AC72" s="27" t="s">
        <v>187</v>
      </c>
      <c r="AD72" s="36" t="str">
        <f>IF(ISBLANK(AE72), "none", AE72)</f>
        <v>none</v>
      </c>
      <c r="AE72" s="60" t="s">
        <v>181</v>
      </c>
    </row>
    <row r="73" spans="2:31" x14ac:dyDescent="0.25">
      <c r="B73" s="12" t="s">
        <v>188</v>
      </c>
      <c r="C73" s="33">
        <v>0</v>
      </c>
      <c r="D73" s="60"/>
      <c r="E73" s="12" t="s">
        <v>188</v>
      </c>
      <c r="F73" s="33">
        <v>0</v>
      </c>
      <c r="G73" s="60"/>
      <c r="H73" s="12" t="s">
        <v>188</v>
      </c>
      <c r="I73" s="33">
        <v>0</v>
      </c>
      <c r="J73" s="60"/>
      <c r="K73" s="12" t="s">
        <v>188</v>
      </c>
      <c r="L73" s="33">
        <v>0</v>
      </c>
      <c r="M73" s="60"/>
      <c r="N73" s="12" t="s">
        <v>188</v>
      </c>
      <c r="O73" s="33">
        <v>0</v>
      </c>
      <c r="P73" s="60"/>
      <c r="Q73" s="12" t="s">
        <v>188</v>
      </c>
      <c r="R73" s="33">
        <v>0</v>
      </c>
      <c r="S73" s="60"/>
      <c r="T73" s="12" t="s">
        <v>188</v>
      </c>
      <c r="U73" s="33">
        <v>0</v>
      </c>
      <c r="V73" s="60"/>
      <c r="W73" s="12" t="s">
        <v>188</v>
      </c>
      <c r="X73" s="33">
        <v>0</v>
      </c>
      <c r="Y73" s="60"/>
      <c r="Z73" s="12" t="s">
        <v>188</v>
      </c>
      <c r="AA73" s="33">
        <v>0</v>
      </c>
      <c r="AB73" s="60"/>
      <c r="AC73" s="12" t="s">
        <v>188</v>
      </c>
      <c r="AD73" s="33">
        <v>0</v>
      </c>
      <c r="AE73" s="60"/>
    </row>
    <row r="74" spans="2:31" x14ac:dyDescent="0.25">
      <c r="B74" s="12" t="s">
        <v>189</v>
      </c>
      <c r="C74" s="33">
        <f>1-C73</f>
        <v>1</v>
      </c>
      <c r="D74" s="60"/>
      <c r="E74" s="12" t="s">
        <v>189</v>
      </c>
      <c r="F74" s="33">
        <f>1-F73</f>
        <v>1</v>
      </c>
      <c r="G74" s="60"/>
      <c r="H74" s="12" t="s">
        <v>189</v>
      </c>
      <c r="I74" s="33">
        <f>1-I73</f>
        <v>1</v>
      </c>
      <c r="J74" s="60"/>
      <c r="K74" s="12" t="s">
        <v>189</v>
      </c>
      <c r="L74" s="33">
        <f>1-L73</f>
        <v>1</v>
      </c>
      <c r="M74" s="60"/>
      <c r="N74" s="12" t="s">
        <v>189</v>
      </c>
      <c r="O74" s="33">
        <f>1-O73</f>
        <v>1</v>
      </c>
      <c r="P74" s="60"/>
      <c r="Q74" s="12" t="s">
        <v>189</v>
      </c>
      <c r="R74" s="33">
        <f>1-R73</f>
        <v>1</v>
      </c>
      <c r="S74" s="60"/>
      <c r="T74" s="12" t="s">
        <v>189</v>
      </c>
      <c r="U74" s="33">
        <f>1-U73</f>
        <v>1</v>
      </c>
      <c r="V74" s="60"/>
      <c r="W74" s="12" t="s">
        <v>189</v>
      </c>
      <c r="X74" s="33">
        <f>1-X73</f>
        <v>1</v>
      </c>
      <c r="Y74" s="60"/>
      <c r="Z74" s="12" t="s">
        <v>189</v>
      </c>
      <c r="AA74" s="33">
        <f>1-AA73</f>
        <v>1</v>
      </c>
      <c r="AB74" s="60"/>
      <c r="AC74" s="12" t="s">
        <v>189</v>
      </c>
      <c r="AD74" s="33">
        <f>1-AD73</f>
        <v>1</v>
      </c>
      <c r="AE74" s="60"/>
    </row>
    <row r="75" spans="2:31" x14ac:dyDescent="0.25">
      <c r="B75" s="12" t="s">
        <v>130</v>
      </c>
      <c r="C75" s="22">
        <f>IF(COUNT(D75)=1,D75,HLOOKUP('in-barn'!C9,defaults!$A$127:$D$128,MATCH('in-barn'!B75,defaults!$A$127:$A$128,0),FALSE))</f>
        <v>51</v>
      </c>
      <c r="D75" s="61"/>
      <c r="E75" s="12" t="s">
        <v>130</v>
      </c>
      <c r="F75" s="22">
        <f>IF(COUNT(G75)=1,G75,HLOOKUP('in-barn'!F9,defaults!$A$127:$D$128,MATCH('in-barn'!E75,defaults!$A$127:$A$128,0),FALSE))</f>
        <v>65</v>
      </c>
      <c r="G75" s="61"/>
      <c r="H75" s="12" t="s">
        <v>130</v>
      </c>
      <c r="I75" s="22">
        <f>IF(COUNT(J75)=1,J75,HLOOKUP('in-barn'!I9,defaults!$A$127:$D$128,MATCH('in-barn'!H75,defaults!$A$127:$A$128,0),FALSE))</f>
        <v>65</v>
      </c>
      <c r="J75" s="61"/>
      <c r="K75" s="12" t="s">
        <v>130</v>
      </c>
      <c r="L75" s="22">
        <f>IF(COUNT(M75)=1,M75,HLOOKUP('in-barn'!L9,defaults!$A$127:$D$128,MATCH('in-barn'!K75,defaults!$A$127:$A$128,0),FALSE))</f>
        <v>65</v>
      </c>
      <c r="M75" s="61"/>
      <c r="N75" s="12" t="s">
        <v>130</v>
      </c>
      <c r="O75" s="22">
        <f>IF(COUNT(P75)=1,P75,HLOOKUP('in-barn'!O9,defaults!$A$127:$D$128,MATCH('in-barn'!N75,defaults!$A$127:$A$128,0),FALSE))</f>
        <v>65</v>
      </c>
      <c r="P75" s="61"/>
      <c r="Q75" s="12" t="s">
        <v>130</v>
      </c>
      <c r="R75" s="22">
        <f>IF(COUNT(S75)=1,S75,HLOOKUP('in-barn'!R9,defaults!$A$127:$D$128,MATCH('in-barn'!Q75,defaults!$A$127:$A$128,0),FALSE))</f>
        <v>65</v>
      </c>
      <c r="S75" s="61"/>
      <c r="T75" s="12" t="s">
        <v>130</v>
      </c>
      <c r="U75" s="22">
        <f>IF(COUNT(V75)=1,V75,HLOOKUP('in-barn'!U9,defaults!$A$127:$D$128,MATCH('in-barn'!T75,defaults!$A$127:$A$128,0),FALSE))</f>
        <v>65</v>
      </c>
      <c r="V75" s="61"/>
      <c r="W75" s="12" t="s">
        <v>130</v>
      </c>
      <c r="X75" s="22">
        <f>IF(COUNT(Y75)=1,Y75,HLOOKUP('in-barn'!X9,defaults!$A$127:$D$128,MATCH('in-barn'!W75,defaults!$A$127:$A$128,0),FALSE))</f>
        <v>65</v>
      </c>
      <c r="Y75" s="61"/>
      <c r="Z75" s="12" t="s">
        <v>130</v>
      </c>
      <c r="AA75" s="22">
        <f>IF(COUNT(AB75)=1,AB75,HLOOKUP('in-barn'!AA9,defaults!$A$127:$D$128,MATCH('in-barn'!Z75,defaults!$A$127:$A$128,0),FALSE))</f>
        <v>65</v>
      </c>
      <c r="AB75" s="61"/>
      <c r="AC75" s="12" t="s">
        <v>130</v>
      </c>
      <c r="AD75" s="22">
        <f>IF(COUNT(AE75)=1,AE75,HLOOKUP('in-barn'!AD9,defaults!$A$127:$D$128,MATCH('in-barn'!AC75,defaults!$A$127:$A$128,0),FALSE))</f>
        <v>65</v>
      </c>
      <c r="AE75" s="61"/>
    </row>
    <row r="76" spans="2:31" x14ac:dyDescent="0.25">
      <c r="B76" s="13"/>
      <c r="C76" s="28"/>
      <c r="D76" s="28"/>
      <c r="E76" s="13"/>
      <c r="F76" s="28"/>
      <c r="G76" s="28"/>
      <c r="H76" s="13"/>
      <c r="I76" s="28"/>
      <c r="J76" s="28"/>
      <c r="K76" s="13"/>
      <c r="L76" s="28"/>
      <c r="M76" s="28"/>
      <c r="N76" s="13"/>
      <c r="O76" s="28"/>
      <c r="P76" s="28"/>
      <c r="Q76" s="13"/>
      <c r="R76" s="28"/>
      <c r="S76" s="28"/>
      <c r="T76" s="13"/>
      <c r="U76" s="28"/>
      <c r="V76" s="28"/>
      <c r="W76" s="13"/>
      <c r="X76" s="28"/>
      <c r="Y76" s="28"/>
      <c r="Z76" s="13"/>
      <c r="AA76" s="28"/>
      <c r="AB76" s="28"/>
      <c r="AC76" s="13"/>
      <c r="AD76" s="28"/>
      <c r="AE76" s="28"/>
    </row>
    <row r="77" spans="2:31" x14ac:dyDescent="0.25">
      <c r="B77" s="26" t="s">
        <v>190</v>
      </c>
      <c r="C77" s="22"/>
      <c r="D77" s="59"/>
      <c r="E77" s="26" t="s">
        <v>190</v>
      </c>
      <c r="F77" s="22"/>
      <c r="G77" s="59"/>
      <c r="H77" s="26" t="s">
        <v>190</v>
      </c>
      <c r="I77" s="22"/>
      <c r="J77" s="59"/>
      <c r="K77" s="26" t="s">
        <v>190</v>
      </c>
      <c r="L77" s="22"/>
      <c r="M77" s="59"/>
      <c r="N77" s="26" t="s">
        <v>190</v>
      </c>
      <c r="O77" s="22"/>
      <c r="P77" s="59"/>
      <c r="Q77" s="26" t="s">
        <v>190</v>
      </c>
      <c r="R77" s="22"/>
      <c r="S77" s="59"/>
      <c r="T77" s="26" t="s">
        <v>190</v>
      </c>
      <c r="U77" s="22"/>
      <c r="V77" s="59"/>
      <c r="W77" s="26" t="s">
        <v>190</v>
      </c>
      <c r="X77" s="22"/>
      <c r="Y77" s="59"/>
      <c r="Z77" s="26" t="s">
        <v>190</v>
      </c>
      <c r="AA77" s="22"/>
      <c r="AB77" s="59"/>
      <c r="AC77" s="26" t="s">
        <v>190</v>
      </c>
      <c r="AD77" s="22"/>
      <c r="AE77" s="59"/>
    </row>
    <row r="78" spans="2:31" x14ac:dyDescent="0.25">
      <c r="B78" s="12" t="s">
        <v>191</v>
      </c>
      <c r="C78" s="25">
        <f>IF(COUNT(D78)=1,D78,_xlfn.CEILING.MATH(COLUMNS($B62:C62)/3))</f>
        <v>1</v>
      </c>
      <c r="D78" s="60"/>
      <c r="E78" s="12" t="s">
        <v>191</v>
      </c>
      <c r="F78" s="25">
        <f>IF(COUNT(G78)=1,G78,_xlfn.CEILING.MATH(COLUMNS($B62:F62)/3))</f>
        <v>2</v>
      </c>
      <c r="G78" s="60"/>
      <c r="H78" s="12" t="s">
        <v>191</v>
      </c>
      <c r="I78" s="25">
        <f>IF(COUNT(J78)=1,J78,_xlfn.CEILING.MATH(COLUMNS($B62:I62)/3))</f>
        <v>3</v>
      </c>
      <c r="J78" s="60"/>
      <c r="K78" s="12" t="s">
        <v>191</v>
      </c>
      <c r="L78" s="25">
        <f>IF(COUNT(M78)=1,M78,_xlfn.CEILING.MATH(COLUMNS($B62:L62)/3))</f>
        <v>4</v>
      </c>
      <c r="M78" s="60"/>
      <c r="N78" s="12" t="s">
        <v>191</v>
      </c>
      <c r="O78" s="25">
        <f>IF(COUNT(P78)=1,P78,_xlfn.CEILING.MATH(COLUMNS($B62:O62)/3))</f>
        <v>5</v>
      </c>
      <c r="P78" s="60"/>
      <c r="Q78" s="12" t="s">
        <v>191</v>
      </c>
      <c r="R78" s="25">
        <f>IF(COUNT(S78)=1,S78,_xlfn.CEILING.MATH(COLUMNS($B62:R62)/3))</f>
        <v>6</v>
      </c>
      <c r="S78" s="60"/>
      <c r="T78" s="12" t="s">
        <v>191</v>
      </c>
      <c r="U78" s="25">
        <f>IF(COUNT(V78)=1,V78,_xlfn.CEILING.MATH(COLUMNS($B62:U62)/3))</f>
        <v>7</v>
      </c>
      <c r="V78" s="60"/>
      <c r="W78" s="12" t="s">
        <v>191</v>
      </c>
      <c r="X78" s="25">
        <f>IF(COUNT(Y78)=1,Y78,_xlfn.CEILING.MATH(COLUMNS($B62:X62)/3))</f>
        <v>8</v>
      </c>
      <c r="Y78" s="60"/>
      <c r="Z78" s="12" t="s">
        <v>191</v>
      </c>
      <c r="AA78" s="25">
        <f>IF(COUNT(AB78)=1,AB78,_xlfn.CEILING.MATH(COLUMNS($B62:AA62)/3))</f>
        <v>9</v>
      </c>
      <c r="AB78" s="60"/>
      <c r="AC78" s="12" t="s">
        <v>191</v>
      </c>
      <c r="AD78" s="25">
        <f>IF(COUNT(AE78)=1,AE78,_xlfn.CEILING.MATH(COLUMNS($B62:AD62)/3))</f>
        <v>10</v>
      </c>
      <c r="AE78" s="60"/>
    </row>
    <row r="79" spans="2:31" x14ac:dyDescent="0.25">
      <c r="B79" s="12" t="s">
        <v>192</v>
      </c>
      <c r="C79" s="25">
        <f>IF(COUNT(D79)=1,D79,_xlfn.CEILING.MATH(COLUMNS($B63:C63)/3))</f>
        <v>1</v>
      </c>
      <c r="D79" s="61"/>
      <c r="E79" s="12" t="s">
        <v>192</v>
      </c>
      <c r="F79" s="25">
        <f>IF(COUNT(G79)=1,G79,_xlfn.CEILING.MATH(COLUMNS($B63:F63)/3))</f>
        <v>2</v>
      </c>
      <c r="G79" s="61"/>
      <c r="H79" s="12" t="s">
        <v>192</v>
      </c>
      <c r="I79" s="25">
        <f>IF(COUNT(J79)=1,J79,_xlfn.CEILING.MATH(COLUMNS($B63:I63)/3))</f>
        <v>3</v>
      </c>
      <c r="J79" s="61"/>
      <c r="K79" s="12" t="s">
        <v>192</v>
      </c>
      <c r="L79" s="25">
        <f>IF(COUNT(M79)=1,M79,_xlfn.CEILING.MATH(COLUMNS($B63:L63)/3))</f>
        <v>4</v>
      </c>
      <c r="M79" s="61"/>
      <c r="N79" s="12" t="s">
        <v>192</v>
      </c>
      <c r="O79" s="25">
        <f>IF(COUNT(P79)=1,P79,_xlfn.CEILING.MATH(COLUMNS($B63:O63)/3))</f>
        <v>5</v>
      </c>
      <c r="P79" s="61"/>
      <c r="Q79" s="12" t="s">
        <v>192</v>
      </c>
      <c r="R79" s="25">
        <f>IF(COUNT(S79)=1,S79,_xlfn.CEILING.MATH(COLUMNS($B63:R63)/3))</f>
        <v>6</v>
      </c>
      <c r="S79" s="61"/>
      <c r="T79" s="12" t="s">
        <v>192</v>
      </c>
      <c r="U79" s="25">
        <f>IF(COUNT(V79)=1,V79,_xlfn.CEILING.MATH(COLUMNS($B63:U63)/3))</f>
        <v>7</v>
      </c>
      <c r="V79" s="61"/>
      <c r="W79" s="12" t="s">
        <v>192</v>
      </c>
      <c r="X79" s="25">
        <f>IF(COUNT(Y79)=1,Y79,_xlfn.CEILING.MATH(COLUMNS($B63:X63)/3))</f>
        <v>8</v>
      </c>
      <c r="Y79" s="61"/>
      <c r="Z79" s="12" t="s">
        <v>192</v>
      </c>
      <c r="AA79" s="25">
        <f>IF(COUNT(AB79)=1,AB79,_xlfn.CEILING.MATH(COLUMNS($B63:AA63)/3))</f>
        <v>9</v>
      </c>
      <c r="AB79" s="61"/>
      <c r="AC79" s="12" t="s">
        <v>192</v>
      </c>
      <c r="AD79" s="25">
        <f>IF(COUNT(AE79)=1,AE79,_xlfn.CEILING.MATH(COLUMNS($B63:AD63)/3))</f>
        <v>10</v>
      </c>
      <c r="AE79" s="61"/>
    </row>
    <row r="80" spans="2:31" x14ac:dyDescent="0.25">
      <c r="D80" s="28"/>
      <c r="G80" s="28"/>
      <c r="J80" s="28"/>
      <c r="M80" s="28"/>
      <c r="P80" s="28"/>
      <c r="S80" s="28"/>
      <c r="V80" s="28"/>
      <c r="Y80" s="28"/>
      <c r="AB80" s="28"/>
      <c r="AE80" s="28"/>
    </row>
    <row r="81" spans="2:31" x14ac:dyDescent="0.25">
      <c r="B81" s="26" t="s">
        <v>136</v>
      </c>
      <c r="C81" s="22"/>
      <c r="D81" s="59"/>
      <c r="E81" s="26" t="s">
        <v>136</v>
      </c>
      <c r="F81" s="22"/>
      <c r="G81" s="59"/>
      <c r="H81" s="26" t="s">
        <v>136</v>
      </c>
      <c r="I81" s="22"/>
      <c r="J81" s="59"/>
      <c r="K81" s="26" t="s">
        <v>136</v>
      </c>
      <c r="L81" s="22"/>
      <c r="M81" s="59"/>
      <c r="N81" s="26" t="s">
        <v>136</v>
      </c>
      <c r="O81" s="22"/>
      <c r="P81" s="59"/>
      <c r="Q81" s="26" t="s">
        <v>136</v>
      </c>
      <c r="R81" s="22"/>
      <c r="S81" s="59"/>
      <c r="T81" s="26" t="s">
        <v>136</v>
      </c>
      <c r="U81" s="22"/>
      <c r="V81" s="59"/>
      <c r="W81" s="26" t="s">
        <v>136</v>
      </c>
      <c r="X81" s="22"/>
      <c r="Y81" s="59"/>
      <c r="Z81" s="26" t="s">
        <v>136</v>
      </c>
      <c r="AA81" s="22"/>
      <c r="AB81" s="59"/>
      <c r="AC81" s="26" t="s">
        <v>136</v>
      </c>
      <c r="AD81" s="22"/>
      <c r="AE81" s="59"/>
    </row>
    <row r="82" spans="2:31" x14ac:dyDescent="0.25">
      <c r="B82" s="12" t="s">
        <v>137</v>
      </c>
      <c r="C82" s="33">
        <f>IF(COUNT(D82)=1,D82,HLOOKUP('in-barn'!C9,defaults!$A$135:$C$143,MATCH('in-barn'!B82,defaults!$A$135:$A$143,0),FALSE))</f>
        <v>31.2</v>
      </c>
      <c r="D82" s="60"/>
      <c r="E82" s="12" t="s">
        <v>137</v>
      </c>
      <c r="F82" s="33">
        <f>IF(COUNT(G82)=1,G82,HLOOKUP('in-barn'!F9,defaults!$A$135:$C$143,MATCH('in-barn'!E82,defaults!$A$135:$A$143,0),FALSE))</f>
        <v>31.3</v>
      </c>
      <c r="G82" s="60"/>
      <c r="H82" s="12" t="s">
        <v>137</v>
      </c>
      <c r="I82" s="33">
        <f>IF(COUNT(J82)=1,J82,HLOOKUP('in-barn'!I9,defaults!$A$135:$C$143,MATCH('in-barn'!H82,defaults!$A$135:$A$143,0),FALSE))</f>
        <v>31.3</v>
      </c>
      <c r="J82" s="60"/>
      <c r="K82" s="12" t="s">
        <v>137</v>
      </c>
      <c r="L82" s="33">
        <f>IF(COUNT(M82)=1,M82,HLOOKUP('in-barn'!L9,defaults!$A$135:$C$143,MATCH('in-barn'!K82,defaults!$A$135:$A$143,0),FALSE))</f>
        <v>31.3</v>
      </c>
      <c r="M82" s="60"/>
      <c r="N82" s="12" t="s">
        <v>137</v>
      </c>
      <c r="O82" s="33">
        <f>IF(COUNT(P82)=1,P82,HLOOKUP('in-barn'!O9,defaults!$A$135:$C$143,MATCH('in-barn'!N82,defaults!$A$135:$A$143,0),FALSE))</f>
        <v>31.3</v>
      </c>
      <c r="P82" s="60"/>
      <c r="Q82" s="12" t="s">
        <v>137</v>
      </c>
      <c r="R82" s="33">
        <f>IF(COUNT(S82)=1,S82,HLOOKUP('in-barn'!R9,defaults!$A$135:$C$143,MATCH('in-barn'!Q82,defaults!$A$135:$A$143,0),FALSE))</f>
        <v>31.3</v>
      </c>
      <c r="S82" s="60"/>
      <c r="T82" s="12" t="s">
        <v>137</v>
      </c>
      <c r="U82" s="33">
        <f>IF(COUNT(V82)=1,V82,HLOOKUP('in-barn'!U9,defaults!$A$135:$C$143,MATCH('in-barn'!T82,defaults!$A$135:$A$143,0),FALSE))</f>
        <v>31.3</v>
      </c>
      <c r="V82" s="60"/>
      <c r="W82" s="12" t="s">
        <v>137</v>
      </c>
      <c r="X82" s="33">
        <f>IF(COUNT(Y82)=1,Y82,HLOOKUP('in-barn'!X9,defaults!$A$135:$C$143,MATCH('in-barn'!W82,defaults!$A$135:$A$143,0),FALSE))</f>
        <v>31.3</v>
      </c>
      <c r="Y82" s="60"/>
      <c r="Z82" s="12" t="s">
        <v>137</v>
      </c>
      <c r="AA82" s="33">
        <f>IF(COUNT(AB82)=1,AB82,HLOOKUP('in-barn'!AA9,defaults!$A$135:$C$143,MATCH('in-barn'!Z82,defaults!$A$135:$A$143,0),FALSE))</f>
        <v>31.3</v>
      </c>
      <c r="AB82" s="60"/>
      <c r="AC82" s="12" t="s">
        <v>137</v>
      </c>
      <c r="AD82" s="33">
        <f>IF(COUNT(AE82)=1,AE82,HLOOKUP('in-barn'!AD9,defaults!$A$135:$C$143,MATCH('in-barn'!AC82,defaults!$A$135:$A$143,0),FALSE))</f>
        <v>31.3</v>
      </c>
      <c r="AE82" s="60"/>
    </row>
    <row r="83" spans="2:31" x14ac:dyDescent="0.25">
      <c r="B83" s="12" t="s">
        <v>138</v>
      </c>
      <c r="C83" s="22">
        <f>IF(COUNT(D83)=1,D83,HLOOKUP('in-barn'!C9,defaults!$A$135:$C$143,MATCH('in-barn'!B83,defaults!$A$135:$A$143,0),FALSE))</f>
        <v>81000</v>
      </c>
      <c r="D83" s="60"/>
      <c r="E83" s="12" t="s">
        <v>138</v>
      </c>
      <c r="F83" s="22">
        <f>IF(COUNT(G83)=1,G83,HLOOKUP('in-barn'!F9,defaults!$A$135:$C$143,MATCH('in-barn'!E83,defaults!$A$135:$A$143,0),FALSE))</f>
        <v>81000</v>
      </c>
      <c r="G83" s="60"/>
      <c r="H83" s="12" t="s">
        <v>138</v>
      </c>
      <c r="I83" s="22">
        <f>IF(COUNT(J83)=1,J83,HLOOKUP('in-barn'!I9,defaults!$A$135:$C$143,MATCH('in-barn'!H83,defaults!$A$135:$A$143,0),FALSE))</f>
        <v>81000</v>
      </c>
      <c r="J83" s="60"/>
      <c r="K83" s="12" t="s">
        <v>138</v>
      </c>
      <c r="L83" s="22">
        <f>IF(COUNT(M83)=1,M83,HLOOKUP('in-barn'!L9,defaults!$A$135:$C$143,MATCH('in-barn'!K83,defaults!$A$135:$A$143,0),FALSE))</f>
        <v>81000</v>
      </c>
      <c r="M83" s="60"/>
      <c r="N83" s="12" t="s">
        <v>138</v>
      </c>
      <c r="O83" s="22">
        <f>IF(COUNT(P83)=1,P83,HLOOKUP('in-barn'!O9,defaults!$A$135:$C$143,MATCH('in-barn'!N83,defaults!$A$135:$A$143,0),FALSE))</f>
        <v>81000</v>
      </c>
      <c r="P83" s="60"/>
      <c r="Q83" s="12" t="s">
        <v>138</v>
      </c>
      <c r="R83" s="22">
        <f>IF(COUNT(S83)=1,S83,HLOOKUP('in-barn'!R9,defaults!$A$135:$C$143,MATCH('in-barn'!Q83,defaults!$A$135:$A$143,0),FALSE))</f>
        <v>81000</v>
      </c>
      <c r="S83" s="60"/>
      <c r="T83" s="12" t="s">
        <v>138</v>
      </c>
      <c r="U83" s="22">
        <f>IF(COUNT(V83)=1,V83,HLOOKUP('in-barn'!U9,defaults!$A$135:$C$143,MATCH('in-barn'!T83,defaults!$A$135:$A$143,0),FALSE))</f>
        <v>81000</v>
      </c>
      <c r="V83" s="60"/>
      <c r="W83" s="12" t="s">
        <v>138</v>
      </c>
      <c r="X83" s="22">
        <f>IF(COUNT(Y83)=1,Y83,HLOOKUP('in-barn'!X9,defaults!$A$135:$C$143,MATCH('in-barn'!W83,defaults!$A$135:$A$143,0),FALSE))</f>
        <v>81000</v>
      </c>
      <c r="Y83" s="60"/>
      <c r="Z83" s="12" t="s">
        <v>138</v>
      </c>
      <c r="AA83" s="22">
        <f>IF(COUNT(AB83)=1,AB83,HLOOKUP('in-barn'!AA9,defaults!$A$135:$C$143,MATCH('in-barn'!Z83,defaults!$A$135:$A$143,0),FALSE))</f>
        <v>81000</v>
      </c>
      <c r="AB83" s="60"/>
      <c r="AC83" s="12" t="s">
        <v>138</v>
      </c>
      <c r="AD83" s="22">
        <f>IF(COUNT(AE83)=1,AE83,HLOOKUP('in-barn'!AD9,defaults!$A$135:$C$143,MATCH('in-barn'!AC83,defaults!$A$135:$A$143,0),FALSE))</f>
        <v>81000</v>
      </c>
      <c r="AE83" s="60"/>
    </row>
    <row r="84" spans="2:31" x14ac:dyDescent="0.25">
      <c r="B84" s="12" t="s">
        <v>139</v>
      </c>
      <c r="C84" s="23">
        <f>IF(COUNT(D84)=1,D84,HLOOKUP('in-barn'!C9,defaults!$A$135:$C$143,MATCH('in-barn'!B84,defaults!$A$135:$A$143,0),FALSE))</f>
        <v>0.42</v>
      </c>
      <c r="D84" s="60"/>
      <c r="E84" s="12" t="s">
        <v>139</v>
      </c>
      <c r="F84" s="23">
        <f>IF(COUNT(G84)=1,G84,HLOOKUP('in-barn'!F9,defaults!$A$135:$C$143,MATCH('in-barn'!E84,defaults!$A$135:$A$143,0),FALSE))</f>
        <v>0.7</v>
      </c>
      <c r="G84" s="60"/>
      <c r="H84" s="12" t="s">
        <v>139</v>
      </c>
      <c r="I84" s="23">
        <f>IF(COUNT(J84)=1,J84,HLOOKUP('in-barn'!I9,defaults!$A$135:$C$143,MATCH('in-barn'!H84,defaults!$A$135:$A$143,0),FALSE))</f>
        <v>0.7</v>
      </c>
      <c r="J84" s="60"/>
      <c r="K84" s="12" t="s">
        <v>139</v>
      </c>
      <c r="L84" s="23">
        <f>IF(COUNT(M84)=1,M84,HLOOKUP('in-barn'!L9,defaults!$A$135:$C$143,MATCH('in-barn'!K84,defaults!$A$135:$A$143,0),FALSE))</f>
        <v>0.7</v>
      </c>
      <c r="M84" s="60"/>
      <c r="N84" s="12" t="s">
        <v>139</v>
      </c>
      <c r="O84" s="23">
        <f>IF(COUNT(P84)=1,P84,HLOOKUP('in-barn'!O9,defaults!$A$135:$C$143,MATCH('in-barn'!N84,defaults!$A$135:$A$143,0),FALSE))</f>
        <v>0.7</v>
      </c>
      <c r="P84" s="60"/>
      <c r="Q84" s="12" t="s">
        <v>139</v>
      </c>
      <c r="R84" s="23">
        <f>IF(COUNT(S84)=1,S84,HLOOKUP('in-barn'!R9,defaults!$A$135:$C$143,MATCH('in-barn'!Q84,defaults!$A$135:$A$143,0),FALSE))</f>
        <v>0.7</v>
      </c>
      <c r="S84" s="60"/>
      <c r="T84" s="12" t="s">
        <v>139</v>
      </c>
      <c r="U84" s="23">
        <f>IF(COUNT(V84)=1,V84,HLOOKUP('in-barn'!U9,defaults!$A$135:$C$143,MATCH('in-barn'!T84,defaults!$A$135:$A$143,0),FALSE))</f>
        <v>0.7</v>
      </c>
      <c r="V84" s="60"/>
      <c r="W84" s="12" t="s">
        <v>139</v>
      </c>
      <c r="X84" s="23">
        <f>IF(COUNT(Y84)=1,Y84,HLOOKUP('in-barn'!X9,defaults!$A$135:$C$143,MATCH('in-barn'!W84,defaults!$A$135:$A$143,0),FALSE))</f>
        <v>0.7</v>
      </c>
      <c r="Y84" s="60"/>
      <c r="Z84" s="12" t="s">
        <v>139</v>
      </c>
      <c r="AA84" s="23">
        <f>IF(COUNT(AB84)=1,AB84,HLOOKUP('in-barn'!AA9,defaults!$A$135:$C$143,MATCH('in-barn'!Z84,defaults!$A$135:$A$143,0),FALSE))</f>
        <v>0.7</v>
      </c>
      <c r="AB84" s="60"/>
      <c r="AC84" s="12" t="s">
        <v>139</v>
      </c>
      <c r="AD84" s="23">
        <f>IF(COUNT(AE84)=1,AE84,HLOOKUP('in-barn'!AD9,defaults!$A$135:$C$143,MATCH('in-barn'!AC84,defaults!$A$135:$A$143,0),FALSE))</f>
        <v>0.7</v>
      </c>
      <c r="AE84" s="60"/>
    </row>
    <row r="85" spans="2:31" x14ac:dyDescent="0.25">
      <c r="B85" s="12" t="s">
        <v>140</v>
      </c>
      <c r="C85" s="23">
        <f>IF(COUNT(D85)=1,D85,HLOOKUP('in-barn'!C9,defaults!$A$135:$C$143,MATCH('in-barn'!B85,defaults!$A$135:$A$143,0),FALSE))</f>
        <v>6.67</v>
      </c>
      <c r="D85" s="61"/>
      <c r="E85" s="12" t="s">
        <v>140</v>
      </c>
      <c r="F85" s="23">
        <f>IF(COUNT(G85)=1,G85,HLOOKUP('in-barn'!F9,defaults!$A$135:$C$143,MATCH('in-barn'!E85,defaults!$A$135:$A$143,0),FALSE))</f>
        <v>6.67</v>
      </c>
      <c r="G85" s="61"/>
      <c r="H85" s="12" t="s">
        <v>140</v>
      </c>
      <c r="I85" s="23">
        <f>IF(COUNT(J85)=1,J85,HLOOKUP('in-barn'!I9,defaults!$A$135:$C$143,MATCH('in-barn'!H85,defaults!$A$135:$A$143,0),FALSE))</f>
        <v>6.67</v>
      </c>
      <c r="J85" s="61"/>
      <c r="K85" s="12" t="s">
        <v>140</v>
      </c>
      <c r="L85" s="23">
        <f>IF(COUNT(M85)=1,M85,HLOOKUP('in-barn'!L9,defaults!$A$135:$C$143,MATCH('in-barn'!K85,defaults!$A$135:$A$143,0),FALSE))</f>
        <v>6.67</v>
      </c>
      <c r="M85" s="61"/>
      <c r="N85" s="12" t="s">
        <v>140</v>
      </c>
      <c r="O85" s="23">
        <f>IF(COUNT(P85)=1,P85,HLOOKUP('in-barn'!O9,defaults!$A$135:$C$143,MATCH('in-barn'!N85,defaults!$A$135:$A$143,0),FALSE))</f>
        <v>6.67</v>
      </c>
      <c r="P85" s="61"/>
      <c r="Q85" s="12" t="s">
        <v>140</v>
      </c>
      <c r="R85" s="23">
        <f>IF(COUNT(S85)=1,S85,HLOOKUP('in-barn'!R9,defaults!$A$135:$C$143,MATCH('in-barn'!Q85,defaults!$A$135:$A$143,0),FALSE))</f>
        <v>6.67</v>
      </c>
      <c r="S85" s="61"/>
      <c r="T85" s="12" t="s">
        <v>140</v>
      </c>
      <c r="U85" s="23">
        <f>IF(COUNT(V85)=1,V85,HLOOKUP('in-barn'!U9,defaults!$A$135:$C$143,MATCH('in-barn'!T85,defaults!$A$135:$A$143,0),FALSE))</f>
        <v>6.67</v>
      </c>
      <c r="V85" s="61"/>
      <c r="W85" s="12" t="s">
        <v>140</v>
      </c>
      <c r="X85" s="23">
        <f>IF(COUNT(Y85)=1,Y85,HLOOKUP('in-barn'!X9,defaults!$A$135:$C$143,MATCH('in-barn'!W85,defaults!$A$135:$A$143,0),FALSE))</f>
        <v>6.67</v>
      </c>
      <c r="Y85" s="61"/>
      <c r="Z85" s="12" t="s">
        <v>140</v>
      </c>
      <c r="AA85" s="23">
        <f>IF(COUNT(AB85)=1,AB85,HLOOKUP('in-barn'!AA9,defaults!$A$135:$C$143,MATCH('in-barn'!Z85,defaults!$A$135:$A$143,0),FALSE))</f>
        <v>6.67</v>
      </c>
      <c r="AB85" s="61"/>
      <c r="AC85" s="12" t="s">
        <v>140</v>
      </c>
      <c r="AD85" s="23">
        <f>IF(COUNT(AE85)=1,AE85,HLOOKUP('in-barn'!AD9,defaults!$A$135:$C$143,MATCH('in-barn'!AC85,defaults!$A$135:$A$143,0),FALSE))</f>
        <v>6.67</v>
      </c>
      <c r="AE85" s="61"/>
    </row>
    <row r="86" spans="2:31" x14ac:dyDescent="0.25">
      <c r="D86" s="28"/>
      <c r="G86" s="28"/>
      <c r="J86" s="28"/>
      <c r="M86" s="28"/>
      <c r="P86" s="28"/>
      <c r="S86" s="28"/>
      <c r="V86" s="28"/>
      <c r="Y86" s="28"/>
      <c r="AB86" s="28"/>
      <c r="AE86" s="28"/>
    </row>
    <row r="87" spans="2:31" x14ac:dyDescent="0.25">
      <c r="B87" s="26" t="s">
        <v>141</v>
      </c>
      <c r="C87" s="22"/>
      <c r="D87" s="59"/>
      <c r="E87" s="26" t="s">
        <v>141</v>
      </c>
      <c r="F87" s="22"/>
      <c r="G87" s="59"/>
      <c r="H87" s="26" t="s">
        <v>141</v>
      </c>
      <c r="I87" s="22"/>
      <c r="J87" s="59"/>
      <c r="K87" s="26" t="s">
        <v>141</v>
      </c>
      <c r="L87" s="22"/>
      <c r="M87" s="59"/>
      <c r="N87" s="26" t="s">
        <v>141</v>
      </c>
      <c r="O87" s="22"/>
      <c r="P87" s="59"/>
      <c r="Q87" s="26" t="s">
        <v>141</v>
      </c>
      <c r="R87" s="22"/>
      <c r="S87" s="59"/>
      <c r="T87" s="26" t="s">
        <v>141</v>
      </c>
      <c r="U87" s="22"/>
      <c r="V87" s="59"/>
      <c r="W87" s="26" t="s">
        <v>141</v>
      </c>
      <c r="X87" s="22"/>
      <c r="Y87" s="59"/>
      <c r="Z87" s="26" t="s">
        <v>141</v>
      </c>
      <c r="AA87" s="22"/>
      <c r="AB87" s="59"/>
      <c r="AC87" s="26" t="s">
        <v>141</v>
      </c>
      <c r="AD87" s="22"/>
      <c r="AE87" s="59"/>
    </row>
    <row r="88" spans="2:31" x14ac:dyDescent="0.25">
      <c r="B88" s="10" t="s">
        <v>142</v>
      </c>
      <c r="C88" s="33">
        <f>IF(COUNT(D88)=1,D88,HLOOKUP('in-barn'!C9,defaults!$A$142:$C$145,MATCH('in-barn'!B88,defaults!$A$142:$A$145,0),FALSE))</f>
        <v>72</v>
      </c>
      <c r="D88" s="60"/>
      <c r="E88" s="10" t="s">
        <v>142</v>
      </c>
      <c r="F88" s="33">
        <f>IF(COUNT(G88)=1,G88,HLOOKUP('in-barn'!F9,defaults!$A$142:$C$145,MATCH('in-barn'!E88,defaults!$A$142:$A$145,0),FALSE))</f>
        <v>54</v>
      </c>
      <c r="G88" s="60"/>
      <c r="H88" s="10" t="s">
        <v>142</v>
      </c>
      <c r="I88" s="33">
        <f>IF(COUNT(J88)=1,J88,HLOOKUP('in-barn'!I9,defaults!$A$142:$C$145,MATCH('in-barn'!H88,defaults!$A$142:$A$145,0),FALSE))</f>
        <v>54</v>
      </c>
      <c r="J88" s="60"/>
      <c r="K88" s="10" t="s">
        <v>142</v>
      </c>
      <c r="L88" s="33">
        <f>IF(COUNT(M88)=1,M88,HLOOKUP('in-barn'!L9,defaults!$A$142:$C$145,MATCH('in-barn'!K88,defaults!$A$142:$A$145,0),FALSE))</f>
        <v>54</v>
      </c>
      <c r="M88" s="60"/>
      <c r="N88" s="10" t="s">
        <v>142</v>
      </c>
      <c r="O88" s="33">
        <f>IF(COUNT(P88)=1,P88,HLOOKUP('in-barn'!O9,defaults!$A$142:$C$145,MATCH('in-barn'!N88,defaults!$A$142:$A$145,0),FALSE))</f>
        <v>54</v>
      </c>
      <c r="P88" s="60"/>
      <c r="Q88" s="10" t="s">
        <v>142</v>
      </c>
      <c r="R88" s="33">
        <f>IF(COUNT(S88)=1,S88,HLOOKUP('in-barn'!R9,defaults!$A$142:$C$145,MATCH('in-barn'!Q88,defaults!$A$142:$A$145,0),FALSE))</f>
        <v>54</v>
      </c>
      <c r="S88" s="60"/>
      <c r="T88" s="10" t="s">
        <v>142</v>
      </c>
      <c r="U88" s="33">
        <f>IF(COUNT(V88)=1,V88,HLOOKUP('in-barn'!U9,defaults!$A$142:$C$145,MATCH('in-barn'!T88,defaults!$A$142:$A$145,0),FALSE))</f>
        <v>54</v>
      </c>
      <c r="V88" s="60"/>
      <c r="W88" s="10" t="s">
        <v>142</v>
      </c>
      <c r="X88" s="33">
        <f>IF(COUNT(Y88)=1,Y88,HLOOKUP('in-barn'!X9,defaults!$A$142:$C$145,MATCH('in-barn'!W88,defaults!$A$142:$A$145,0),FALSE))</f>
        <v>54</v>
      </c>
      <c r="Y88" s="60"/>
      <c r="Z88" s="10" t="s">
        <v>142</v>
      </c>
      <c r="AA88" s="33">
        <f>IF(COUNT(AB88)=1,AB88,HLOOKUP('in-barn'!AA9,defaults!$A$142:$C$145,MATCH('in-barn'!Z88,defaults!$A$142:$A$145,0),FALSE))</f>
        <v>54</v>
      </c>
      <c r="AB88" s="60"/>
      <c r="AC88" s="10" t="s">
        <v>142</v>
      </c>
      <c r="AD88" s="33">
        <f>IF(COUNT(AE88)=1,AE88,HLOOKUP('in-barn'!AD9,defaults!$A$142:$C$145,MATCH('in-barn'!AC88,defaults!$A$142:$A$145,0),FALSE))</f>
        <v>54</v>
      </c>
      <c r="AE88" s="60"/>
    </row>
    <row r="89" spans="2:31" x14ac:dyDescent="0.25">
      <c r="B89" s="10" t="s">
        <v>143</v>
      </c>
      <c r="C89" s="33">
        <f>IF(COUNT(D89)=1,D89,HLOOKUP('in-barn'!C9,defaults!$A$142:$C$145,MATCH('in-barn'!B89,defaults!$A$142:$A$145,0),FALSE))</f>
        <v>48</v>
      </c>
      <c r="D89" s="60"/>
      <c r="E89" s="10" t="s">
        <v>143</v>
      </c>
      <c r="F89" s="33">
        <f>IF(COUNT(G89)=1,G89,HLOOKUP('in-barn'!F9,defaults!$A$142:$C$145,MATCH('in-barn'!E89,defaults!$A$142:$A$145,0),FALSE))</f>
        <v>23</v>
      </c>
      <c r="G89" s="60"/>
      <c r="H89" s="10" t="s">
        <v>143</v>
      </c>
      <c r="I89" s="33">
        <f>IF(COUNT(J89)=1,J89,HLOOKUP('in-barn'!I9,defaults!$A$142:$C$145,MATCH('in-barn'!H89,defaults!$A$142:$A$145,0),FALSE))</f>
        <v>23</v>
      </c>
      <c r="J89" s="60"/>
      <c r="K89" s="10" t="s">
        <v>143</v>
      </c>
      <c r="L89" s="33">
        <f>IF(COUNT(M89)=1,M89,HLOOKUP('in-barn'!L9,defaults!$A$142:$C$145,MATCH('in-barn'!K89,defaults!$A$142:$A$145,0),FALSE))</f>
        <v>23</v>
      </c>
      <c r="M89" s="60"/>
      <c r="N89" s="10" t="s">
        <v>143</v>
      </c>
      <c r="O89" s="33">
        <f>IF(COUNT(P89)=1,P89,HLOOKUP('in-barn'!O9,defaults!$A$142:$C$145,MATCH('in-barn'!N89,defaults!$A$142:$A$145,0),FALSE))</f>
        <v>23</v>
      </c>
      <c r="P89" s="60"/>
      <c r="Q89" s="10" t="s">
        <v>143</v>
      </c>
      <c r="R89" s="33">
        <f>IF(COUNT(S89)=1,S89,HLOOKUP('in-barn'!R9,defaults!$A$142:$C$145,MATCH('in-barn'!Q89,defaults!$A$142:$A$145,0),FALSE))</f>
        <v>23</v>
      </c>
      <c r="S89" s="60"/>
      <c r="T89" s="10" t="s">
        <v>143</v>
      </c>
      <c r="U89" s="33">
        <f>IF(COUNT(V89)=1,V89,HLOOKUP('in-barn'!U9,defaults!$A$142:$C$145,MATCH('in-barn'!T89,defaults!$A$142:$A$145,0),FALSE))</f>
        <v>23</v>
      </c>
      <c r="V89" s="60"/>
      <c r="W89" s="10" t="s">
        <v>143</v>
      </c>
      <c r="X89" s="33">
        <f>IF(COUNT(Y89)=1,Y89,HLOOKUP('in-barn'!X9,defaults!$A$142:$C$145,MATCH('in-barn'!W89,defaults!$A$142:$A$145,0),FALSE))</f>
        <v>23</v>
      </c>
      <c r="Y89" s="60"/>
      <c r="Z89" s="10" t="s">
        <v>143</v>
      </c>
      <c r="AA89" s="33">
        <f>IF(COUNT(AB89)=1,AB89,HLOOKUP('in-barn'!AA9,defaults!$A$142:$C$145,MATCH('in-barn'!Z89,defaults!$A$142:$A$145,0),FALSE))</f>
        <v>23</v>
      </c>
      <c r="AB89" s="60"/>
      <c r="AC89" s="10" t="s">
        <v>143</v>
      </c>
      <c r="AD89" s="33">
        <f>IF(COUNT(AE89)=1,AE89,HLOOKUP('in-barn'!AD9,defaults!$A$142:$C$145,MATCH('in-barn'!AC89,defaults!$A$142:$A$145,0),FALSE))</f>
        <v>23</v>
      </c>
      <c r="AE89" s="60"/>
    </row>
    <row r="90" spans="2:31" x14ac:dyDescent="0.25">
      <c r="B90" s="10" t="s">
        <v>193</v>
      </c>
      <c r="C90" s="33">
        <f>IF(COUNT(D90)=1,D90,HLOOKUP(C12,defaults!$A$147:$AA$179,MATCH(C10,defaults!$A$147:$A$179,0),FALSE))</f>
        <v>0</v>
      </c>
      <c r="D90" s="61"/>
      <c r="E90" s="10" t="s">
        <v>193</v>
      </c>
      <c r="F90" s="33">
        <f>IF(COUNT(G90)=1,G90,HLOOKUP(F12,defaults!$A$147:$AA$179,MATCH(F10,defaults!$A$147:$A$179,0),FALSE))</f>
        <v>0</v>
      </c>
      <c r="G90" s="61"/>
      <c r="H90" s="10" t="s">
        <v>193</v>
      </c>
      <c r="I90" s="33">
        <f>IF(COUNT(J90)=1,J90,HLOOKUP(I12,defaults!$A$147:$AA$179,MATCH(I10,defaults!$A$147:$A$179,0),FALSE))</f>
        <v>0</v>
      </c>
      <c r="J90" s="61"/>
      <c r="K90" s="10" t="s">
        <v>193</v>
      </c>
      <c r="L90" s="33">
        <f>IF(COUNT(M90)=1,M90,HLOOKUP(L12,defaults!$A$147:$AA$179,MATCH(L10,defaults!$A$147:$A$179,0),FALSE))</f>
        <v>0</v>
      </c>
      <c r="M90" s="61"/>
      <c r="N90" s="10" t="s">
        <v>193</v>
      </c>
      <c r="O90" s="33">
        <f>IF(COUNT(P90)=1,P90,HLOOKUP(O12,defaults!$A$147:$AA$179,MATCH(O10,defaults!$A$147:$A$179,0),FALSE))</f>
        <v>0</v>
      </c>
      <c r="P90" s="61"/>
      <c r="Q90" s="10" t="s">
        <v>193</v>
      </c>
      <c r="R90" s="33">
        <f>IF(COUNT(S90)=1,S90,HLOOKUP(R12,defaults!$A$147:$AA$179,MATCH(R10,defaults!$A$147:$A$179,0),FALSE))</f>
        <v>0</v>
      </c>
      <c r="S90" s="61"/>
      <c r="T90" s="10" t="s">
        <v>193</v>
      </c>
      <c r="U90" s="33">
        <f>IF(COUNT(V90)=1,V90,HLOOKUP(U12,defaults!$A$147:$AA$179,MATCH(U10,defaults!$A$147:$A$179,0),FALSE))</f>
        <v>0</v>
      </c>
      <c r="V90" s="61"/>
      <c r="W90" s="10" t="s">
        <v>193</v>
      </c>
      <c r="X90" s="33">
        <f>IF(COUNT(Y90)=1,Y90,HLOOKUP(X12,defaults!$A$147:$AA$179,MATCH(X10,defaults!$A$147:$A$179,0),FALSE))</f>
        <v>0</v>
      </c>
      <c r="Y90" s="61"/>
      <c r="Z90" s="10" t="s">
        <v>193</v>
      </c>
      <c r="AA90" s="33">
        <f>IF(COUNT(AB90)=1,AB90,HLOOKUP(AA12,defaults!$A$147:$AA$179,MATCH(AA10,defaults!$A$147:$A$179,0),FALSE))</f>
        <v>0</v>
      </c>
      <c r="AB90" s="61"/>
      <c r="AC90" s="10" t="s">
        <v>193</v>
      </c>
      <c r="AD90" s="33">
        <f>IF(COUNT(AE90)=1,AE90,HLOOKUP(AD12,defaults!$A$147:$AA$179,MATCH(AD10,defaults!$A$147:$A$179,0),FALSE))</f>
        <v>0</v>
      </c>
      <c r="AE90" s="61"/>
    </row>
  </sheetData>
  <sheetProtection formatCells="0" formatColumns="0" formatRows="0" insertColumns="0" insertRows="0" insertHyperlinks="0" sort="0" autoFilter="0" pivotTables="0"/>
  <conditionalFormatting sqref="D77:D78 D64:D65 D69:D74 D81:D83 D8:D62">
    <cfRule type="expression" dxfId="176" priority="183">
      <formula>#REF!</formula>
    </cfRule>
  </conditionalFormatting>
  <conditionalFormatting sqref="D84">
    <cfRule type="expression" dxfId="175" priority="149">
      <formula>#REF!</formula>
    </cfRule>
  </conditionalFormatting>
  <conditionalFormatting sqref="D87:D88">
    <cfRule type="expression" dxfId="174" priority="148">
      <formula>#REF!</formula>
    </cfRule>
  </conditionalFormatting>
  <conditionalFormatting sqref="D79">
    <cfRule type="expression" dxfId="173" priority="146">
      <formula>#REF!</formula>
    </cfRule>
  </conditionalFormatting>
  <conditionalFormatting sqref="D75">
    <cfRule type="expression" dxfId="172" priority="145">
      <formula>#REF!</formula>
    </cfRule>
  </conditionalFormatting>
  <conditionalFormatting sqref="D85">
    <cfRule type="expression" dxfId="171" priority="144">
      <formula>#REF!</formula>
    </cfRule>
  </conditionalFormatting>
  <conditionalFormatting sqref="D89:D90">
    <cfRule type="expression" dxfId="170" priority="143">
      <formula>#REF!</formula>
    </cfRule>
  </conditionalFormatting>
  <conditionalFormatting sqref="D67:D68">
    <cfRule type="expression" dxfId="169" priority="142">
      <formula>#REF!</formula>
    </cfRule>
  </conditionalFormatting>
  <conditionalFormatting sqref="D66">
    <cfRule type="expression" dxfId="168" priority="140">
      <formula>#REF!</formula>
    </cfRule>
  </conditionalFormatting>
  <conditionalFormatting sqref="B80:D1048576 B78:B79 D78:D79 E49:G77 E48:F48 B62:D77 D47:D61 B1:D46 E9:G47 H9:AE77">
    <cfRule type="expression" dxfId="167" priority="130">
      <formula>$C$8="deactive"</formula>
    </cfRule>
  </conditionalFormatting>
  <conditionalFormatting sqref="G77:G78 G64:G65 G69:G74 G81:G83 G49:G62 G8:G47 J8:J62 M8:M62 P8:P62 S8:S62 V8:V62 Y8:Y62 AB8:AB62 AE8:AE62">
    <cfRule type="expression" dxfId="166" priority="129">
      <formula>#REF!</formula>
    </cfRule>
  </conditionalFormatting>
  <conditionalFormatting sqref="G84">
    <cfRule type="expression" dxfId="165" priority="128">
      <formula>#REF!</formula>
    </cfRule>
  </conditionalFormatting>
  <conditionalFormatting sqref="G87:G88">
    <cfRule type="expression" dxfId="164" priority="127">
      <formula>#REF!</formula>
    </cfRule>
  </conditionalFormatting>
  <conditionalFormatting sqref="G79">
    <cfRule type="expression" dxfId="163" priority="126">
      <formula>#REF!</formula>
    </cfRule>
  </conditionalFormatting>
  <conditionalFormatting sqref="G75">
    <cfRule type="expression" dxfId="162" priority="125">
      <formula>#REF!</formula>
    </cfRule>
  </conditionalFormatting>
  <conditionalFormatting sqref="G85">
    <cfRule type="expression" dxfId="161" priority="124">
      <formula>#REF!</formula>
    </cfRule>
  </conditionalFormatting>
  <conditionalFormatting sqref="G89:G90">
    <cfRule type="expression" dxfId="160" priority="123">
      <formula>#REF!</formula>
    </cfRule>
  </conditionalFormatting>
  <conditionalFormatting sqref="G67:G68">
    <cfRule type="expression" dxfId="159" priority="122">
      <formula>#REF!</formula>
    </cfRule>
  </conditionalFormatting>
  <conditionalFormatting sqref="G66">
    <cfRule type="expression" dxfId="158" priority="121">
      <formula>#REF!</formula>
    </cfRule>
  </conditionalFormatting>
  <conditionalFormatting sqref="E6:G7 E8 G8 E80:G1048576 E78:E79 G78:G79">
    <cfRule type="expression" dxfId="157" priority="120">
      <formula>$C$8="deactive"</formula>
    </cfRule>
  </conditionalFormatting>
  <conditionalFormatting sqref="J77:J78 J64:J65 J69:J74 J81:J83">
    <cfRule type="expression" dxfId="156" priority="119">
      <formula>#REF!</formula>
    </cfRule>
  </conditionalFormatting>
  <conditionalFormatting sqref="J84">
    <cfRule type="expression" dxfId="155" priority="118">
      <formula>#REF!</formula>
    </cfRule>
  </conditionalFormatting>
  <conditionalFormatting sqref="J87:J88">
    <cfRule type="expression" dxfId="154" priority="117">
      <formula>#REF!</formula>
    </cfRule>
  </conditionalFormatting>
  <conditionalFormatting sqref="J79">
    <cfRule type="expression" dxfId="153" priority="116">
      <formula>#REF!</formula>
    </cfRule>
  </conditionalFormatting>
  <conditionalFormatting sqref="J75">
    <cfRule type="expression" dxfId="152" priority="115">
      <formula>#REF!</formula>
    </cfRule>
  </conditionalFormatting>
  <conditionalFormatting sqref="J85">
    <cfRule type="expression" dxfId="151" priority="114">
      <formula>#REF!</formula>
    </cfRule>
  </conditionalFormatting>
  <conditionalFormatting sqref="J89:J90">
    <cfRule type="expression" dxfId="150" priority="113">
      <formula>#REF!</formula>
    </cfRule>
  </conditionalFormatting>
  <conditionalFormatting sqref="J67:J68">
    <cfRule type="expression" dxfId="149" priority="112">
      <formula>#REF!</formula>
    </cfRule>
  </conditionalFormatting>
  <conditionalFormatting sqref="J66">
    <cfRule type="expression" dxfId="148" priority="111">
      <formula>#REF!</formula>
    </cfRule>
  </conditionalFormatting>
  <conditionalFormatting sqref="H6:J7 H8 J8 H80:J1048576 H78:H79 J78:J79">
    <cfRule type="expression" dxfId="147" priority="110">
      <formula>$C$8="deactive"</formula>
    </cfRule>
  </conditionalFormatting>
  <conditionalFormatting sqref="M77:M78 M64:M65 M69:M74 M81:M83">
    <cfRule type="expression" dxfId="146" priority="109">
      <formula>#REF!</formula>
    </cfRule>
  </conditionalFormatting>
  <conditionalFormatting sqref="M84">
    <cfRule type="expression" dxfId="145" priority="108">
      <formula>#REF!</formula>
    </cfRule>
  </conditionalFormatting>
  <conditionalFormatting sqref="M87:M88">
    <cfRule type="expression" dxfId="144" priority="107">
      <formula>#REF!</formula>
    </cfRule>
  </conditionalFormatting>
  <conditionalFormatting sqref="M79">
    <cfRule type="expression" dxfId="143" priority="106">
      <formula>#REF!</formula>
    </cfRule>
  </conditionalFormatting>
  <conditionalFormatting sqref="M75">
    <cfRule type="expression" dxfId="142" priority="105">
      <formula>#REF!</formula>
    </cfRule>
  </conditionalFormatting>
  <conditionalFormatting sqref="M85">
    <cfRule type="expression" dxfId="141" priority="104">
      <formula>#REF!</formula>
    </cfRule>
  </conditionalFormatting>
  <conditionalFormatting sqref="M89:M90">
    <cfRule type="expression" dxfId="140" priority="103">
      <formula>#REF!</formula>
    </cfRule>
  </conditionalFormatting>
  <conditionalFormatting sqref="M67:M68">
    <cfRule type="expression" dxfId="139" priority="102">
      <formula>#REF!</formula>
    </cfRule>
  </conditionalFormatting>
  <conditionalFormatting sqref="M66">
    <cfRule type="expression" dxfId="138" priority="101">
      <formula>#REF!</formula>
    </cfRule>
  </conditionalFormatting>
  <conditionalFormatting sqref="K6:M7 K8 M8 K80:M1048576 K78:K79 M78:M79">
    <cfRule type="expression" dxfId="137" priority="100">
      <formula>$C$8="deactive"</formula>
    </cfRule>
  </conditionalFormatting>
  <conditionalFormatting sqref="P77:P78 P64:P65 P69:P74 P81:P83">
    <cfRule type="expression" dxfId="136" priority="99">
      <formula>#REF!</formula>
    </cfRule>
  </conditionalFormatting>
  <conditionalFormatting sqref="P84">
    <cfRule type="expression" dxfId="135" priority="98">
      <formula>#REF!</formula>
    </cfRule>
  </conditionalFormatting>
  <conditionalFormatting sqref="P87:P88">
    <cfRule type="expression" dxfId="134" priority="97">
      <formula>#REF!</formula>
    </cfRule>
  </conditionalFormatting>
  <conditionalFormatting sqref="P79">
    <cfRule type="expression" dxfId="133" priority="96">
      <formula>#REF!</formula>
    </cfRule>
  </conditionalFormatting>
  <conditionalFormatting sqref="P75">
    <cfRule type="expression" dxfId="132" priority="95">
      <formula>#REF!</formula>
    </cfRule>
  </conditionalFormatting>
  <conditionalFormatting sqref="P85">
    <cfRule type="expression" dxfId="131" priority="94">
      <formula>#REF!</formula>
    </cfRule>
  </conditionalFormatting>
  <conditionalFormatting sqref="P89:P90">
    <cfRule type="expression" dxfId="130" priority="93">
      <formula>#REF!</formula>
    </cfRule>
  </conditionalFormatting>
  <conditionalFormatting sqref="P67:P68">
    <cfRule type="expression" dxfId="129" priority="92">
      <formula>#REF!</formula>
    </cfRule>
  </conditionalFormatting>
  <conditionalFormatting sqref="P66">
    <cfRule type="expression" dxfId="128" priority="91">
      <formula>#REF!</formula>
    </cfRule>
  </conditionalFormatting>
  <conditionalFormatting sqref="N6:P7 N8 P8 N80:P1048576 N78:N79 P78:P79">
    <cfRule type="expression" dxfId="127" priority="90">
      <formula>$C$8="deactive"</formula>
    </cfRule>
  </conditionalFormatting>
  <conditionalFormatting sqref="S77:S78 S64:S65 S69:S74 S81:S83">
    <cfRule type="expression" dxfId="126" priority="89">
      <formula>#REF!</formula>
    </cfRule>
  </conditionalFormatting>
  <conditionalFormatting sqref="S84">
    <cfRule type="expression" dxfId="125" priority="88">
      <formula>#REF!</formula>
    </cfRule>
  </conditionalFormatting>
  <conditionalFormatting sqref="S87:S88">
    <cfRule type="expression" dxfId="124" priority="87">
      <formula>#REF!</formula>
    </cfRule>
  </conditionalFormatting>
  <conditionalFormatting sqref="S79">
    <cfRule type="expression" dxfId="123" priority="86">
      <formula>#REF!</formula>
    </cfRule>
  </conditionalFormatting>
  <conditionalFormatting sqref="S75">
    <cfRule type="expression" dxfId="122" priority="85">
      <formula>#REF!</formula>
    </cfRule>
  </conditionalFormatting>
  <conditionalFormatting sqref="S85">
    <cfRule type="expression" dxfId="121" priority="84">
      <formula>#REF!</formula>
    </cfRule>
  </conditionalFormatting>
  <conditionalFormatting sqref="S89:S90">
    <cfRule type="expression" dxfId="120" priority="83">
      <formula>#REF!</formula>
    </cfRule>
  </conditionalFormatting>
  <conditionalFormatting sqref="S67:S68">
    <cfRule type="expression" dxfId="119" priority="82">
      <formula>#REF!</formula>
    </cfRule>
  </conditionalFormatting>
  <conditionalFormatting sqref="S66">
    <cfRule type="expression" dxfId="118" priority="81">
      <formula>#REF!</formula>
    </cfRule>
  </conditionalFormatting>
  <conditionalFormatting sqref="Q6:S7 Q8 S8 Q80:S1048576 Q78:Q79 S78:S79">
    <cfRule type="expression" dxfId="117" priority="80">
      <formula>$C$8="deactive"</formula>
    </cfRule>
  </conditionalFormatting>
  <conditionalFormatting sqref="V77:V78 V64:V65 V69:V74 V81:V83">
    <cfRule type="expression" dxfId="116" priority="79">
      <formula>#REF!</formula>
    </cfRule>
  </conditionalFormatting>
  <conditionalFormatting sqref="V84">
    <cfRule type="expression" dxfId="115" priority="78">
      <formula>#REF!</formula>
    </cfRule>
  </conditionalFormatting>
  <conditionalFormatting sqref="V87:V88">
    <cfRule type="expression" dxfId="114" priority="77">
      <formula>#REF!</formula>
    </cfRule>
  </conditionalFormatting>
  <conditionalFormatting sqref="V79">
    <cfRule type="expression" dxfId="113" priority="76">
      <formula>#REF!</formula>
    </cfRule>
  </conditionalFormatting>
  <conditionalFormatting sqref="V75">
    <cfRule type="expression" dxfId="112" priority="75">
      <formula>#REF!</formula>
    </cfRule>
  </conditionalFormatting>
  <conditionalFormatting sqref="V85">
    <cfRule type="expression" dxfId="111" priority="74">
      <formula>#REF!</formula>
    </cfRule>
  </conditionalFormatting>
  <conditionalFormatting sqref="V89:V90">
    <cfRule type="expression" dxfId="110" priority="73">
      <formula>#REF!</formula>
    </cfRule>
  </conditionalFormatting>
  <conditionalFormatting sqref="V67:V68">
    <cfRule type="expression" dxfId="109" priority="72">
      <formula>#REF!</formula>
    </cfRule>
  </conditionalFormatting>
  <conditionalFormatting sqref="V66">
    <cfRule type="expression" dxfId="108" priority="71">
      <formula>#REF!</formula>
    </cfRule>
  </conditionalFormatting>
  <conditionalFormatting sqref="T6:V7 T8 V8 T80:V1048576 T78:T79 V78:V79">
    <cfRule type="expression" dxfId="107" priority="70">
      <formula>$C$8="deactive"</formula>
    </cfRule>
  </conditionalFormatting>
  <conditionalFormatting sqref="Y77:Y78 Y64:Y65 Y69:Y74 Y81:Y83">
    <cfRule type="expression" dxfId="106" priority="69">
      <formula>#REF!</formula>
    </cfRule>
  </conditionalFormatting>
  <conditionalFormatting sqref="Y84">
    <cfRule type="expression" dxfId="105" priority="68">
      <formula>#REF!</formula>
    </cfRule>
  </conditionalFormatting>
  <conditionalFormatting sqref="Y87:Y88">
    <cfRule type="expression" dxfId="104" priority="67">
      <formula>#REF!</formula>
    </cfRule>
  </conditionalFormatting>
  <conditionalFormatting sqref="Y79">
    <cfRule type="expression" dxfId="103" priority="66">
      <formula>#REF!</formula>
    </cfRule>
  </conditionalFormatting>
  <conditionalFormatting sqref="Y75">
    <cfRule type="expression" dxfId="102" priority="65">
      <formula>#REF!</formula>
    </cfRule>
  </conditionalFormatting>
  <conditionalFormatting sqref="Y85">
    <cfRule type="expression" dxfId="101" priority="64">
      <formula>#REF!</formula>
    </cfRule>
  </conditionalFormatting>
  <conditionalFormatting sqref="Y89:Y90">
    <cfRule type="expression" dxfId="100" priority="63">
      <formula>#REF!</formula>
    </cfRule>
  </conditionalFormatting>
  <conditionalFormatting sqref="Y67:Y68">
    <cfRule type="expression" dxfId="99" priority="62">
      <formula>#REF!</formula>
    </cfRule>
  </conditionalFormatting>
  <conditionalFormatting sqref="Y66">
    <cfRule type="expression" dxfId="98" priority="61">
      <formula>#REF!</formula>
    </cfRule>
  </conditionalFormatting>
  <conditionalFormatting sqref="W6:Y7 W8 Y8 W80:Y1048576 W78:W79 Y78:Y79">
    <cfRule type="expression" dxfId="97" priority="60">
      <formula>$C$8="deactive"</formula>
    </cfRule>
  </conditionalFormatting>
  <conditionalFormatting sqref="AB77:AB78 AB64:AB65 AB69:AB74 AB81:AB83">
    <cfRule type="expression" dxfId="96" priority="59">
      <formula>#REF!</formula>
    </cfRule>
  </conditionalFormatting>
  <conditionalFormatting sqref="AB84">
    <cfRule type="expression" dxfId="95" priority="58">
      <formula>#REF!</formula>
    </cfRule>
  </conditionalFormatting>
  <conditionalFormatting sqref="AB87:AB88">
    <cfRule type="expression" dxfId="94" priority="57">
      <formula>#REF!</formula>
    </cfRule>
  </conditionalFormatting>
  <conditionalFormatting sqref="AB79">
    <cfRule type="expression" dxfId="93" priority="56">
      <formula>#REF!</formula>
    </cfRule>
  </conditionalFormatting>
  <conditionalFormatting sqref="AB75">
    <cfRule type="expression" dxfId="92" priority="55">
      <formula>#REF!</formula>
    </cfRule>
  </conditionalFormatting>
  <conditionalFormatting sqref="AB85">
    <cfRule type="expression" dxfId="91" priority="54">
      <formula>#REF!</formula>
    </cfRule>
  </conditionalFormatting>
  <conditionalFormatting sqref="AB89:AB90">
    <cfRule type="expression" dxfId="90" priority="53">
      <formula>#REF!</formula>
    </cfRule>
  </conditionalFormatting>
  <conditionalFormatting sqref="AB67:AB68">
    <cfRule type="expression" dxfId="89" priority="52">
      <formula>#REF!</formula>
    </cfRule>
  </conditionalFormatting>
  <conditionalFormatting sqref="AB66">
    <cfRule type="expression" dxfId="88" priority="51">
      <formula>#REF!</formula>
    </cfRule>
  </conditionalFormatting>
  <conditionalFormatting sqref="Z6:AB7 Z8 AB8 Z80:AB1048576 Z78:Z79 AB78:AB79">
    <cfRule type="expression" dxfId="87" priority="50">
      <formula>$C$8="deactive"</formula>
    </cfRule>
  </conditionalFormatting>
  <conditionalFormatting sqref="AE77:AE78 AE64:AE65 AE69:AE74 AE81:AE83">
    <cfRule type="expression" dxfId="86" priority="49">
      <formula>#REF!</formula>
    </cfRule>
  </conditionalFormatting>
  <conditionalFormatting sqref="AE84">
    <cfRule type="expression" dxfId="85" priority="48">
      <formula>#REF!</formula>
    </cfRule>
  </conditionalFormatting>
  <conditionalFormatting sqref="AE87:AE88">
    <cfRule type="expression" dxfId="84" priority="47">
      <formula>#REF!</formula>
    </cfRule>
  </conditionalFormatting>
  <conditionalFormatting sqref="AE79">
    <cfRule type="expression" dxfId="83" priority="46">
      <formula>#REF!</formula>
    </cfRule>
  </conditionalFormatting>
  <conditionalFormatting sqref="AE75">
    <cfRule type="expression" dxfId="82" priority="45">
      <formula>#REF!</formula>
    </cfRule>
  </conditionalFormatting>
  <conditionalFormatting sqref="AE85">
    <cfRule type="expression" dxfId="81" priority="44">
      <formula>#REF!</formula>
    </cfRule>
  </conditionalFormatting>
  <conditionalFormatting sqref="AE89:AE90">
    <cfRule type="expression" dxfId="80" priority="43">
      <formula>#REF!</formula>
    </cfRule>
  </conditionalFormatting>
  <conditionalFormatting sqref="AE67:AE68">
    <cfRule type="expression" dxfId="79" priority="42">
      <formula>#REF!</formula>
    </cfRule>
  </conditionalFormatting>
  <conditionalFormatting sqref="AE66">
    <cfRule type="expression" dxfId="78" priority="41">
      <formula>#REF!</formula>
    </cfRule>
  </conditionalFormatting>
  <conditionalFormatting sqref="AC6:AE7 AC8 AE8 AC80:AE1048576 AC78:AC79 AE78:AE79">
    <cfRule type="expression" dxfId="77" priority="40">
      <formula>$C$8="deactive"</formula>
    </cfRule>
  </conditionalFormatting>
  <conditionalFormatting sqref="E1:G7 E8 G8 E80:G1048576 E78:E79 G78:G79 E49:G77 E48:F48 E9:G47">
    <cfRule type="expression" dxfId="76" priority="39">
      <formula>$F$8="deactive"</formula>
    </cfRule>
  </conditionalFormatting>
  <conditionalFormatting sqref="F8">
    <cfRule type="expression" dxfId="75" priority="38">
      <formula>$C$8="deactive"</formula>
    </cfRule>
  </conditionalFormatting>
  <conditionalFormatting sqref="I8">
    <cfRule type="expression" dxfId="74" priority="37">
      <formula>$C$8="deactive"</formula>
    </cfRule>
  </conditionalFormatting>
  <conditionalFormatting sqref="L8">
    <cfRule type="expression" dxfId="73" priority="36">
      <formula>$C$8="deactive"</formula>
    </cfRule>
  </conditionalFormatting>
  <conditionalFormatting sqref="O8">
    <cfRule type="expression" dxfId="72" priority="35">
      <formula>$C$8="deactive"</formula>
    </cfRule>
  </conditionalFormatting>
  <conditionalFormatting sqref="R8">
    <cfRule type="expression" dxfId="71" priority="34">
      <formula>$C$8="deactive"</formula>
    </cfRule>
  </conditionalFormatting>
  <conditionalFormatting sqref="U8">
    <cfRule type="expression" dxfId="70" priority="33">
      <formula>$C$8="deactive"</formula>
    </cfRule>
  </conditionalFormatting>
  <conditionalFormatting sqref="X8">
    <cfRule type="expression" dxfId="69" priority="32">
      <formula>$C$8="deactive"</formula>
    </cfRule>
  </conditionalFormatting>
  <conditionalFormatting sqref="AA8">
    <cfRule type="expression" dxfId="68" priority="31">
      <formula>$C$8="deactive"</formula>
    </cfRule>
  </conditionalFormatting>
  <conditionalFormatting sqref="AD8">
    <cfRule type="expression" dxfId="67" priority="30">
      <formula>$C$8="deactive"</formula>
    </cfRule>
  </conditionalFormatting>
  <conditionalFormatting sqref="H80:J1048576 H78:H79 J78:J79 H1:J77">
    <cfRule type="expression" dxfId="66" priority="29">
      <formula>$I$8="deactive"</formula>
    </cfRule>
  </conditionalFormatting>
  <conditionalFormatting sqref="K80:M1048576 K78:K79 M78:M79 K1:M77">
    <cfRule type="expression" dxfId="65" priority="28">
      <formula>$L$8="deactive"</formula>
    </cfRule>
  </conditionalFormatting>
  <conditionalFormatting sqref="N80:P1048576 N78:N79 P78:P79 N1:P77">
    <cfRule type="expression" dxfId="64" priority="27">
      <formula>$O$8="deactive"</formula>
    </cfRule>
  </conditionalFormatting>
  <conditionalFormatting sqref="Q80:S1048576 Q78:Q79 S78:S79 Q1:S77">
    <cfRule type="expression" dxfId="63" priority="26">
      <formula>$R$8="deactive"</formula>
    </cfRule>
  </conditionalFormatting>
  <conditionalFormatting sqref="T80:V1048576 T78:T79 V78:V79 T1:V77">
    <cfRule type="expression" dxfId="62" priority="25">
      <formula>$U$8="deactive"</formula>
    </cfRule>
  </conditionalFormatting>
  <conditionalFormatting sqref="W80:Y1048576 W78:W79 Y78:Y79 W1:Y77">
    <cfRule type="expression" dxfId="61" priority="24">
      <formula>$X$8="deactive"</formula>
    </cfRule>
  </conditionalFormatting>
  <conditionalFormatting sqref="Z80:AB1048576 Z78:Z79 AB78:AB79 Z1:AB77">
    <cfRule type="expression" dxfId="60" priority="23">
      <formula>$AA$8="deactive"</formula>
    </cfRule>
  </conditionalFormatting>
  <conditionalFormatting sqref="AC80:AE1048576 AC78:AC79 AE78:AE79 AC1:AE77">
    <cfRule type="expression" dxfId="59" priority="22">
      <formula>$AD$8="deactive"</formula>
    </cfRule>
  </conditionalFormatting>
  <conditionalFormatting sqref="C78:C79">
    <cfRule type="expression" dxfId="58" priority="20">
      <formula>$C$8="deactive"</formula>
    </cfRule>
  </conditionalFormatting>
  <conditionalFormatting sqref="F78">
    <cfRule type="expression" dxfId="57" priority="19">
      <formula>$C$8="deactive"</formula>
    </cfRule>
  </conditionalFormatting>
  <conditionalFormatting sqref="F79">
    <cfRule type="expression" dxfId="56" priority="18">
      <formula>$C$8="deactive"</formula>
    </cfRule>
  </conditionalFormatting>
  <conditionalFormatting sqref="I78">
    <cfRule type="expression" dxfId="55" priority="17">
      <formula>$C$8="deactive"</formula>
    </cfRule>
  </conditionalFormatting>
  <conditionalFormatting sqref="I79">
    <cfRule type="expression" dxfId="54" priority="16">
      <formula>$C$8="deactive"</formula>
    </cfRule>
  </conditionalFormatting>
  <conditionalFormatting sqref="L78">
    <cfRule type="expression" dxfId="53" priority="15">
      <formula>$C$8="deactive"</formula>
    </cfRule>
  </conditionalFormatting>
  <conditionalFormatting sqref="L79">
    <cfRule type="expression" dxfId="52" priority="14">
      <formula>$C$8="deactive"</formula>
    </cfRule>
  </conditionalFormatting>
  <conditionalFormatting sqref="O78">
    <cfRule type="expression" dxfId="51" priority="13">
      <formula>$C$8="deactive"</formula>
    </cfRule>
  </conditionalFormatting>
  <conditionalFormatting sqref="O79">
    <cfRule type="expression" dxfId="50" priority="12">
      <formula>$C$8="deactive"</formula>
    </cfRule>
  </conditionalFormatting>
  <conditionalFormatting sqref="R78">
    <cfRule type="expression" dxfId="49" priority="11">
      <formula>$C$8="deactive"</formula>
    </cfRule>
  </conditionalFormatting>
  <conditionalFormatting sqref="R79">
    <cfRule type="expression" dxfId="48" priority="10">
      <formula>$C$8="deactive"</formula>
    </cfRule>
  </conditionalFormatting>
  <conditionalFormatting sqref="U78">
    <cfRule type="expression" dxfId="47" priority="9">
      <formula>$C$8="deactive"</formula>
    </cfRule>
  </conditionalFormatting>
  <conditionalFormatting sqref="U79">
    <cfRule type="expression" dxfId="46" priority="8">
      <formula>$C$8="deactive"</formula>
    </cfRule>
  </conditionalFormatting>
  <conditionalFormatting sqref="X78">
    <cfRule type="expression" dxfId="45" priority="7">
      <formula>$C$8="deactive"</formula>
    </cfRule>
  </conditionalFormatting>
  <conditionalFormatting sqref="X79">
    <cfRule type="expression" dxfId="44" priority="6">
      <formula>$C$8="deactive"</formula>
    </cfRule>
  </conditionalFormatting>
  <conditionalFormatting sqref="AA78">
    <cfRule type="expression" dxfId="43" priority="5">
      <formula>$C$8="deactive"</formula>
    </cfRule>
  </conditionalFormatting>
  <conditionalFormatting sqref="AA79">
    <cfRule type="expression" dxfId="42" priority="4">
      <formula>$C$8="deactive"</formula>
    </cfRule>
  </conditionalFormatting>
  <conditionalFormatting sqref="AD78">
    <cfRule type="expression" dxfId="41" priority="3">
      <formula>$C$8="deactive"</formula>
    </cfRule>
  </conditionalFormatting>
  <conditionalFormatting sqref="AD79">
    <cfRule type="expression" dxfId="40" priority="2">
      <formula>$C$8="deactive"</formula>
    </cfRule>
  </conditionalFormatting>
  <dataValidations count="53">
    <dataValidation type="decimal" allowBlank="1" showInputMessage="1" showErrorMessage="1" prompt="Slurry height in slurry pit after removal" sqref="C21 F21 I21 L21 O21 R21 U21 X21 AA21 AD21" xr:uid="{00000000-0002-0000-0400-000000000000}">
      <formula1>0</formula1>
      <formula2>C19</formula2>
    </dataValidation>
    <dataValidation type="decimal" allowBlank="1" showInputMessage="1" showErrorMessage="1" promptTitle="Fraction of slurry to biogas" prompt="The fraction of the slurry that is going to a biogas plant, even if it is shortly stored in a prestorage tank first." sqref="C74 F74 I74 L74 O74 R74 U74 X74 AA74 AD74" xr:uid="{00000000-0002-0000-0400-000001000000}">
      <formula1>0</formula1>
      <formula2>1</formula2>
    </dataValidation>
    <dataValidation type="decimal" allowBlank="1" showInputMessage="1" showErrorMessage="1" promptTitle="Fraction to outside storage" prompt="The fraction of the slurry that goes to an outside storage tank. " sqref="C73 F73 I73 L73 O73 R73 U73 X73 AA73 AD73" xr:uid="{00000000-0002-0000-0400-000002000000}">
      <formula1>0</formula1>
      <formula2>1</formula2>
    </dataValidation>
    <dataValidation allowBlank="1" showInputMessage="1" showErrorMessage="1" promptTitle="Target pH when acidified" prompt="Type the target pH for acidification. If acidification technology is not applied this value is ignored" sqref="C66 F66 I66 L66 O66 R66 U66 X66 AA66 AD66" xr:uid="{00000000-0002-0000-0400-000003000000}"/>
    <dataValidation operator="greaterThanOrEqual" allowBlank="1" showInputMessage="1" showErrorMessage="1" sqref="C23 C18 F23 F18 I23 I18 L23 L18 O23 O18 R23 R18 U23 U18 X23 X18 AA23 AA18 AD23 AD18" xr:uid="{00000000-0002-0000-0400-000004000000}"/>
    <dataValidation type="decimal" operator="greaterThanOrEqual" allowBlank="1" showInputMessage="1" showErrorMessage="1" promptTitle="Area per animal (m2)" prompt="The productivity area per animal" sqref="C30 F30 I30 L30 O30 R30 U30 X30 AA30 AD30" xr:uid="{00000000-0002-0000-0400-000005000000}">
      <formula1>0</formula1>
    </dataValidation>
    <dataValidation allowBlank="1" showInputMessage="1" showErrorMessage="1" prompt="The time the section is empty from one batch of animals leaves the section til a new one enters" sqref="C24 F24 I24 L24 O24 R24 U24 X24 AA24 AD24" xr:uid="{00000000-0002-0000-0400-000007000000}"/>
    <dataValidation operator="greaterThanOrEqual" allowBlank="1" showInputMessage="1" showErrorMessage="1" prompt="Type &quot;NA&quot; if washing never occurs" sqref="C22 F22 I22 L22 O22 R22 U22 X22 AA22 AD22" xr:uid="{00000000-0002-0000-0400-000008000000}"/>
    <dataValidation operator="greaterThan" allowBlank="1" showInputMessage="1" showErrorMessage="1" prompt="Distance from buttom of slurry pit to underfloor " sqref="C19 F19 I19 L19 O19 R19 U19 X19 AA19 AD19" xr:uid="{00000000-0002-0000-0400-000009000000}"/>
    <dataValidation type="decimal" operator="greaterThanOrEqual" allowBlank="1" showInputMessage="1" showErrorMessage="1" promptTitle="Number of animals per section" prompt="Enter number of animals of the selected animal category per section" sqref="C11 F11 I11 L11 O11 R11 U11 X11 AA11 AD11" xr:uid="{00000000-0002-0000-0400-00000A000000}">
      <formula1>1</formula1>
    </dataValidation>
    <dataValidation operator="greaterThanOrEqual" allowBlank="1" showInputMessage="1" showErrorMessage="1" promptTitle="Area of slurry pit surface (m2)" sqref="C31 F31 I31 L31 O31 R31 U31 X31 AA31 AD31" xr:uid="{00000000-0002-0000-0400-00000B000000}"/>
    <dataValidation operator="greaterThanOrEqual" allowBlank="1" showInputMessage="1" showErrorMessage="1" promptTitle="Area per animal (m2)" prompt="The productivity area per animal" sqref="C45:D45 C32:C34 D33:D34 F45:G45 F32:F34 G33:G34 I45:J45 I32:I34 J33:J34 L45:M45 L32:L34 M33:M34 O45:P45 O32:O34 P33:P34 R45:S45 R32:R34 S33:S34 U45:V45 U32:U34 V33:V34 X45:Y45 X32:X34 Y33:Y34 AA45:AB45 AA32:AA34 AB33:AB34 AD45:AE45 AD32:AD34 AE33:AE34" xr:uid="{00000000-0002-0000-0400-00000C000000}"/>
    <dataValidation type="decimal" operator="greaterThanOrEqual" allowBlank="1" showInputMessage="1" showErrorMessage="1" promptTitle="Average time in prestorage" prompt="The time the slurry is stored in the prestorage tank before it is processed in a biogas facility." sqref="AD83:AD85 C83:C85 U83:U85 F83:F85 AA83:AA85 I83:I85 R83:R85 L83:L85 X83:X85 O83:O85" xr:uid="{00000000-0002-0000-0400-00000D000000}">
      <formula1>0</formula1>
    </dataValidation>
    <dataValidation type="whole" allowBlank="1" showInputMessage="1" showErrorMessage="1" promptTitle="Production time (days)" prompt="The residence time of the animal (excluding dead animals)." sqref="C35 F35 I35 L35 O35 R35 U35 X35 AA35 AD35" xr:uid="{00000000-0002-0000-0400-00000E000000}">
      <formula1>0</formula1>
      <formula2>365</formula2>
    </dataValidation>
    <dataValidation type="whole" allowBlank="1" showInputMessage="1" showErrorMessage="1" promptTitle="Grazing time (days)" prompt="Days a year animals are allowed to graze outside." sqref="C25 F25 I25 L25 O25 R25 U25 X25 AA25 AD25" xr:uid="{00000000-0002-0000-0400-00000F000000}">
      <formula1>0</formula1>
      <formula2>365</formula2>
    </dataValidation>
    <dataValidation type="decimal" allowBlank="1" showInputMessage="1" showErrorMessage="1" promptTitle="COD removal in biogas %" sqref="D75:D76 AD87:AD90 D80 C81:C82 D86 C87:C90 G75:G76 C76:C77 G80 F81:F82 G86 F87:F90 J75:J76 F76:F77 J80 I81:I82 J86 I87:I90 M75:M76 I76:I77 M80 L81:L82 M86 L87:L90 P75:P76 L76:L77 P80 O81:O82 P86 O87:O90 S75:S76 O76:O77 S80 R81:R82 S86 R87:R90 V75:V76 R76:R77 V80 U81:U82 V86 U87:U90 Y75:Y76 U76:U77 Y80 X81:X82 Y86 X87:X90 AB75:AB76 X76:X77 AB80 AA81:AA82 AB86 AA87:AA90 AE75:AE76 AA76:AA77 AE80 AD81:AD82 AE86 AD76:AD77" xr:uid="{00000000-0002-0000-0400-000010000000}">
      <formula1>0</formula1>
      <formula2>100</formula2>
    </dataValidation>
    <dataValidation type="whole" allowBlank="1" showInputMessage="1" showErrorMessage="1" promptTitle="grazing time pr day (h)" prompt="During periods of grazing how many hours a day are they outside" sqref="C26 F26 I26 L26 O26 R26 U26 X26 AA26 AD26" xr:uid="{00000000-0002-0000-0400-000011000000}">
      <formula1>0</formula1>
      <formula2>365</formula2>
    </dataValidation>
    <dataValidation allowBlank="1" showInputMessage="1" showErrorMessage="1" promptTitle="grazing time pr day (h)" prompt="During periods of grazing how many hours a day are they outside" sqref="C28 F28 I28 L28 O28 R28 U28 X28 AA28 AD28" xr:uid="{00000000-0002-0000-0400-000012000000}"/>
    <dataValidation allowBlank="1" showInputMessage="1" showErrorMessage="1" promptTitle="COD removal in biogas %" sqref="C75 F75 I75 L75 O75 R75 U75 X75 AA75 AD75" xr:uid="{00000000-0002-0000-0400-000013000000}"/>
    <dataValidation type="decimal" allowBlank="1" showInputMessage="1" showErrorMessage="1" promptTitle="Target pH when acidified" prompt="Type the target pH for acidification. If acidification technology is not applied this value is ignored" sqref="C68 F68 I68 L68 O68 R68 U68 X68 AA68 AD68" xr:uid="{2A5B6B39-3BED-4B10-84D0-9B9BA5F765D4}">
      <formula1>0</formula1>
      <formula2>100</formula2>
    </dataValidation>
    <dataValidation type="whole" allowBlank="1" showInputMessage="1" showErrorMessage="1" sqref="G49:G61 J47:J61 M47:M61 P47:P61 S47:S61 V47:V61 Y47:Y61 AB47:AB61 AE47:AE61 G47 D47:D61" xr:uid="{B4C22BBA-A837-4442-9030-26566DE6651C}">
      <formula1>0</formula1>
      <formula2>100</formula2>
    </dataValidation>
    <dataValidation type="decimal" allowBlank="1" showInputMessage="1" showErrorMessage="1" sqref="D18 G18 J18 M18 P18 S18 V18 Y18 AB18 AE18" xr:uid="{6919C150-FA7B-44AE-B7EC-5EF85E324672}">
      <formula1>0.1</formula1>
      <formula2>40</formula2>
    </dataValidation>
    <dataValidation type="decimal" allowBlank="1" showInputMessage="1" showErrorMessage="1" sqref="D19 D43 G19 G43 J19 J43 M19 M43 P19 P43 S19 S43 V19 V43 Y19 Y43 AB19 AB43 AE19 AE43" xr:uid="{6016F1C6-E5E9-4586-A4B1-2CC3B846A9C4}">
      <formula1>0.1</formula1>
      <formula2>5</formula2>
    </dataValidation>
    <dataValidation type="decimal" operator="greaterThanOrEqual" allowBlank="1" showInputMessage="1" showErrorMessage="1" sqref="D20 D22 D24 G20 G22 G24 J20 J22 J24 M20 M22 M24 P20 P22 P24 S20 S22 S24 V20 V22 V24 Y20 Y22 Y24 AB20 AB22 AB24 AE20 AE22 AE24" xr:uid="{B432D22E-1B4B-4957-AFAE-CD3A50257CDF}">
      <formula1>0</formula1>
    </dataValidation>
    <dataValidation type="decimal" allowBlank="1" showInputMessage="1" showErrorMessage="1" sqref="D21 G21 J21 M21 P21 S21 V21 Y21 AB21 AE21" xr:uid="{124AD763-C23A-4140-BA59-F8A4CB438EF0}">
      <formula1>0.1</formula1>
      <formula2>C19</formula2>
    </dataValidation>
    <dataValidation type="decimal" allowBlank="1" showInputMessage="1" showErrorMessage="1" sqref="D23 G23 J23 M23 P23 S23 V23 Y23 AB23 AE23" xr:uid="{697D6A80-BDA4-40F3-B8CB-51AC0466A1B3}">
      <formula1>0</formula1>
      <formula2>10000</formula2>
    </dataValidation>
    <dataValidation type="whole" allowBlank="1" showInputMessage="1" showErrorMessage="1" sqref="D25 G25 J25 M25 P25 S25 V25 Y25 AB25 AE25" xr:uid="{5B658394-6D2F-456C-BE04-E871C216D705}">
      <formula1>0</formula1>
      <formula2>365</formula2>
    </dataValidation>
    <dataValidation type="decimal" allowBlank="1" showInputMessage="1" showErrorMessage="1" sqref="D26 G26 J26 M26 P26 S26 V26 Y26 AB26 AE26" xr:uid="{DD2C8282-A986-45D8-BDEC-2BA13B8F5C25}">
      <formula1>0</formula1>
      <formula2>24</formula2>
    </dataValidation>
    <dataValidation type="decimal" allowBlank="1" showInputMessage="1" showErrorMessage="1" sqref="D28 G28 J28 M28 P28 S28 V28 Y28 AB28 AE28" xr:uid="{D6A2AE3E-3BB9-406A-896D-EC88AE0E8DB7}">
      <formula1>0</formula1>
      <formula2>0.99</formula2>
    </dataValidation>
    <dataValidation type="decimal" allowBlank="1" showInputMessage="1" showErrorMessage="1" sqref="D29 G29 J29 M29 P29 S29 V29 Y29 AB29 AE29" xr:uid="{80A646C6-D085-4B2A-AF9B-E95AB7144067}">
      <formula1>0</formula1>
      <formula2>10</formula2>
    </dataValidation>
    <dataValidation type="decimal" allowBlank="1" showInputMessage="1" showErrorMessage="1" sqref="D30 G30 J30 M30 P30 S30 V30 Y30 AB30 AE30" xr:uid="{316B9833-3AEC-492E-9CBD-0CCA703C70B3}">
      <formula1>0.01</formula1>
      <formula2>20</formula2>
    </dataValidation>
    <dataValidation type="decimal" allowBlank="1" showInputMessage="1" showErrorMessage="1" sqref="D35 G35 J35 M35 P35 S35 V35 Y35 AB35 AE35" xr:uid="{59B07341-6168-4122-9CAE-B44EF90AA08F}">
      <formula1>1</formula1>
      <formula2>365</formula2>
    </dataValidation>
    <dataValidation type="decimal" allowBlank="1" showInputMessage="1" showErrorMessage="1" sqref="D36 G36 J36 M36 P36 S36 V36 Y36 AB36 AE36" xr:uid="{3FE55CE6-E6B8-497A-B503-328EEF180D02}">
      <formula1>0.1</formula1>
      <formula2>20000</formula2>
    </dataValidation>
    <dataValidation type="decimal" allowBlank="1" showInputMessage="1" showErrorMessage="1" sqref="D84 G84 J84 M84 P84 S84 V84 Y84 AB84 AE84" xr:uid="{3FDCCE3A-20C1-4AB6-9E47-5EB384F483B2}">
      <formula1>0.1</formula1>
      <formula2>1</formula2>
    </dataValidation>
    <dataValidation type="decimal" allowBlank="1" showInputMessage="1" showErrorMessage="1" sqref="D37 G37 J37 M37 P37 S37 V37 Y37 AB37 AE37" xr:uid="{71687051-6784-4A60-B73F-B8702367B143}">
      <formula1>0</formula1>
      <formula2>20000</formula2>
    </dataValidation>
    <dataValidation type="decimal" allowBlank="1" showInputMessage="1" showErrorMessage="1" sqref="D38 G38 J38 M38 P38 S38 V38 Y38 AB38 AE38" xr:uid="{2DA98255-FB49-41C2-8118-D9E276512195}">
      <formula1>0</formula1>
      <formula2>100</formula2>
    </dataValidation>
    <dataValidation type="decimal" allowBlank="1" showInputMessage="1" showErrorMessage="1" sqref="D39 G39 J39 M39 P39 S39 V39 Y39 AB39 AE39" xr:uid="{91FE7DD8-CECA-41C0-AC75-64DFA5A6669C}">
      <formula1>0.1</formula1>
      <formula2>1000</formula2>
    </dataValidation>
    <dataValidation type="decimal" allowBlank="1" showInputMessage="1" showErrorMessage="1" sqref="D40 G40 J40 M40 P40 S40 V40 Y40 AB40 AE40" xr:uid="{89BC2B5A-7529-4367-BE62-245B13A11D4E}">
      <formula1>0</formula1>
      <formula2>5000</formula2>
    </dataValidation>
    <dataValidation type="decimal" allowBlank="1" showInputMessage="1" showErrorMessage="1" sqref="D41:D42 D66 G41:G42 G66 J41:J42 J66 M41:M42 M66 P41:P42 P66 S41:S42 S66 V41:V42 V66 Y41:Y42 Y66 AB41:AB42 AB66 AE41:AE42 AE66" xr:uid="{10202F6E-E367-4DE3-8149-49DF5BAAF9CA}">
      <formula1>0</formula1>
      <formula2>20</formula2>
    </dataValidation>
    <dataValidation type="decimal" allowBlank="1" showInputMessage="1" showErrorMessage="1" sqref="D44 G44 J44 M44 P44 S44 V44 Y44 AB44 AE44" xr:uid="{40C03263-8AAC-4EF6-92B2-D551F25F5C7E}">
      <formula1>50</formula1>
      <formula2>100</formula2>
    </dataValidation>
    <dataValidation type="decimal" allowBlank="1" showInputMessage="1" showErrorMessage="1" sqref="D68 G68 J68 M68 P68 S68 V68 Y68 AB68 AE68" xr:uid="{5B0EB567-7E3E-4644-8980-7E344419F173}">
      <formula1>0</formula1>
      <formula2>99</formula2>
    </dataValidation>
    <dataValidation type="decimal" allowBlank="1" showInputMessage="1" showErrorMessage="1" sqref="D70 G70 J70 M70 P70 S70 V70 Y70 AB70 AE70" xr:uid="{613D0F64-7720-49AF-9227-26CCB74DA4D3}">
      <formula1>0</formula1>
      <formula2>50</formula2>
    </dataValidation>
    <dataValidation type="decimal" allowBlank="1" showInputMessage="1" showErrorMessage="1" sqref="D71 G71 J71 M71 P71 S71 V71 Y71 AB71 AE71" xr:uid="{5EFFF6B6-88CF-4630-AFF7-F52AB74DEE64}">
      <formula1>0</formula1>
      <formula2>365</formula2>
    </dataValidation>
    <dataValidation type="decimal" allowBlank="1" showInputMessage="1" showErrorMessage="1" sqref="D73 G73 J73 M73 P73 S73 V73 Y73 AB73 AE73" xr:uid="{9A80BB58-E14D-4C29-B4BF-4B86156CA27D}">
      <formula1>0</formula1>
      <formula2>1</formula2>
    </dataValidation>
    <dataValidation type="decimal" allowBlank="1" showInputMessage="1" showErrorMessage="1" sqref="D82 G82 J82 M82 P82 S82 V82 Y82 AB82 AE82" xr:uid="{1ECEE60F-4CDF-4FA4-B2CF-436549EEDDC9}">
      <formula1>20</formula1>
      <formula2>40</formula2>
    </dataValidation>
    <dataValidation type="decimal" allowBlank="1" showInputMessage="1" showErrorMessage="1" sqref="D83 G83 J83 M83 P83 S83 V83 Y83 AB83 AE83" xr:uid="{7F42412F-41E5-4557-A02F-C3D15D4560FD}">
      <formula1>40000</formula1>
      <formula2>120000</formula2>
    </dataValidation>
    <dataValidation type="decimal" allowBlank="1" showInputMessage="1" showErrorMessage="1" sqref="D85 G85 J85 M85 P85 S85 V85 Y85 AB85 AE85" xr:uid="{D5C80A5F-00D1-4B91-B52C-EFAFCD27CF2B}">
      <formula1>1</formula1>
      <formula2>20</formula2>
    </dataValidation>
    <dataValidation type="decimal" allowBlank="1" showInputMessage="1" showErrorMessage="1" sqref="D88 G88 J88 M88 P88 S88 V88 Y88 AB88 AE88" xr:uid="{80E3D02D-BC1C-4DD3-A363-1F4A4E9DD016}">
      <formula1>30</formula1>
      <formula2>110</formula2>
    </dataValidation>
    <dataValidation type="decimal" allowBlank="1" showInputMessage="1" showErrorMessage="1" sqref="D89 G89 J89 M89 P89 S89 V89 Y89 AB89 AE89" xr:uid="{1FF021E3-4907-47AD-AA1B-DC3DEB50DF46}">
      <formula1>20</formula1>
      <formula2>70</formula2>
    </dataValidation>
    <dataValidation allowBlank="1" showInputMessage="1" showErrorMessage="1" promptTitle="Animal category" prompt="Select the animal category" sqref="C10 F10 I10 L10 O10 R10 U10 X10 AA10 AD10" xr:uid="{00000000-0002-0000-0400-00001F000000}"/>
    <dataValidation allowBlank="1" showInputMessage="1" showErrorMessage="1" promptTitle="Production time (days)" prompt="The residence time of the animal (excluding dead animals)." sqref="C36:C39 F36:F39 I36:I39 L36:L39 O36:O39 R36:R39 U36:U39 X36:X39 AA36:AA39 AD36:AD39" xr:uid="{00000000-0002-0000-0400-000015000000}"/>
    <dataValidation operator="greaterThanOrEqual" allowBlank="1" showInputMessage="1" showErrorMessage="1" promptTitle="bedding material (kg/animal)" prompt="bedding material added pr animal" sqref="C40:C44 F40:F44 I40:I44 L40:L44 O40:O44 R40:R44 U40:U44 X40:X44 AA40:AA44 AD40:AD44" xr:uid="{00000000-0002-0000-0400-000014000000}"/>
    <dataValidation type="whole" allowBlank="1" showInputMessage="1" showErrorMessage="1" sqref="A7" xr:uid="{F85D831A-B13C-4F41-874A-B1E9DEE006FD}">
      <formula1>1</formula1>
      <formula2>10</formula2>
    </dataValidation>
  </dataValidations>
  <pageMargins left="0.7" right="0.7" top="0.75" bottom="0.75" header="0.3" footer="0.3"/>
  <pageSetup orientation="portrait" horizontalDpi="1200" verticalDpi="1200" r:id="rId1"/>
  <extLst>
    <ext xmlns:x14="http://schemas.microsoft.com/office/spreadsheetml/2009/9/main" uri="{CCE6A557-97BC-4b89-ADB6-D9C93CAAB3DF}">
      <x14:dataValidations xmlns:xm="http://schemas.microsoft.com/office/excel/2006/main" count="16">
        <x14:dataValidation type="list" allowBlank="1" showInputMessage="1" showErrorMessage="1" promptTitle="grazing time pr day (h)" prompt="During periods of grazing how many hours a day are they outside" xr:uid="{00000000-0002-0000-0400-000017000000}">
          <x14:formula1>
            <xm:f>parms_list!$C$2:$C$13</xm:f>
          </x14:formula1>
          <xm:sqref>C27 F27 I27 L27 O27 R27 U27 X27 AA27 AD27</xm:sqref>
        </x14:dataValidation>
        <x14:dataValidation type="list" allowBlank="1" showInputMessage="1" showErrorMessage="1" xr:uid="{00000000-0002-0000-0400-00001A000000}">
          <x14:formula1>
            <xm:f>parms_list!$A$2:$A$4</xm:f>
          </x14:formula1>
          <xm:sqref>D9 G9 J9 M9 P9 S9 V9 Y9 AB9 AE9</xm:sqref>
        </x14:dataValidation>
        <x14:dataValidation type="list" allowBlank="1" showInputMessage="1" showErrorMessage="1" xr:uid="{00000000-0002-0000-0400-00001D000000}">
          <x14:formula1>
            <xm:f>parms_list!$J$2:$J$3</xm:f>
          </x14:formula1>
          <xm:sqref>D14 G14 J14 M14 P14 S14 V14 Y14 AB14 AE14</xm:sqref>
        </x14:dataValidation>
        <x14:dataValidation type="list" allowBlank="1" showInputMessage="1" showErrorMessage="1" promptTitle="Animal category" prompt="Select the animal category" xr:uid="{00000000-0002-0000-0400-00001E000000}">
          <x14:formula1>
            <xm:f>parms_list!$B$2:$B$21</xm:f>
          </x14:formula1>
          <xm:sqref>C15:D15 F15:G15 I15:J15 L15:M15 O15:P15 R15:S15 U15:V15 X15:Y15 AA15:AB15 AD15:AE15</xm:sqref>
        </x14:dataValidation>
        <x14:dataValidation type="list" allowBlank="1" showInputMessage="1" showErrorMessage="1" xr:uid="{00000000-0002-0000-0400-000020000000}">
          <x14:formula1>
            <xm:f>parms_list!$E$2:$E$6</xm:f>
          </x14:formula1>
          <xm:sqref>D13 G13 J13 M13 P13 S13 V13 Y13 AB13 AE13</xm:sqref>
        </x14:dataValidation>
        <x14:dataValidation type="list" allowBlank="1" showInputMessage="1" showErrorMessage="1" promptTitle="Animal category" prompt="Select the animal category" xr:uid="{00000000-0002-0000-0400-000021000000}">
          <x14:formula1>
            <xm:f>IF(C9="pig",parms_list!$D$2:$D$18,IF(C9="cattle", parms_list!$D$20:$D$29,parms_list!$D$31:$D$42))</xm:f>
          </x14:formula1>
          <xm:sqref>C12 F12 I12 L12 O12 R12 U12 X12 AA12 AD12</xm:sqref>
        </x14:dataValidation>
        <x14:dataValidation type="list" allowBlank="1" showInputMessage="1" showErrorMessage="1" xr:uid="{CFB44587-07C0-4CD5-B096-9100B5B9CF68}">
          <x14:formula1>
            <xm:f>IF(F$9 = "pig",parms_list!$K$2:$K$42,IF(F$9 ="cattle",parms_list!$L$2:$L$480,parms_list!$N$2:$N$24))</xm:f>
          </x14:formula1>
          <xm:sqref>AC48:AC61 E48:E61 H48:H61 K48:K61 N48:N61 Q48:Q61 T48:T61 W48:W61 Z48:Z61</xm:sqref>
        </x14:dataValidation>
        <x14:dataValidation type="list" allowBlank="1" showInputMessage="1" showErrorMessage="1" xr:uid="{E2F90DA1-FC5B-49F0-B108-DD39799C3489}">
          <x14:formula1>
            <xm:f>IF(F$9 = "pig",parms_list!$K$2:$K$42,IF(F$9 ="cattle",parms_list!$L$2:$L$480,parms_list!$M$2:$M$38))</xm:f>
          </x14:formula1>
          <xm:sqref>AC47 E47 H47 K47 N47 Q47 T47 W47 Z47</xm:sqref>
        </x14:dataValidation>
        <x14:dataValidation type="list" allowBlank="1" showInputMessage="1" showErrorMessage="1" xr:uid="{8941CBF0-A181-4A38-9AE9-B3D47980FD66}">
          <x14:formula1>
            <xm:f>parms_list!$C$2:$C$13</xm:f>
          </x14:formula1>
          <xm:sqref>D27 G27 J27 M27 P27 S27 V27 Y27 AB27 AE27</xm:sqref>
        </x14:dataValidation>
        <x14:dataValidation type="list" allowBlank="1" showInputMessage="1" showErrorMessage="1" xr:uid="{569970AD-87C1-4675-B56B-A88A42738A10}">
          <x14:formula1>
            <xm:f>parms_list!$G$2:$G$3</xm:f>
          </x14:formula1>
          <xm:sqref>D65 G65 J65 M65 P65 S65 V65 Y65 AB65 AE65</xm:sqref>
        </x14:dataValidation>
        <x14:dataValidation type="list" allowBlank="1" showInputMessage="1" showErrorMessage="1" xr:uid="{1ACB6835-AF4D-4B79-ABFD-FB2ACB5323E7}">
          <x14:formula1>
            <xm:f>parms_list!$Q$2:$Q$3</xm:f>
          </x14:formula1>
          <xm:sqref>D67 G67 J67 M67 P67 S67 V67 Y67 AB67 AE67</xm:sqref>
        </x14:dataValidation>
        <x14:dataValidation type="list" allowBlank="1" showInputMessage="1" showErrorMessage="1" xr:uid="{BF087E1B-5B49-4F50-A7FE-1BAB778A4539}">
          <x14:formula1>
            <xm:f>parms_list!$H$2:$H$3</xm:f>
          </x14:formula1>
          <xm:sqref>D69 G69 J69 M69 P69 S69 V69 Y69 AB69 AE69</xm:sqref>
        </x14:dataValidation>
        <x14:dataValidation type="list" allowBlank="1" showInputMessage="1" showErrorMessage="1" xr:uid="{67F50BE8-AB6B-47FB-B8D1-E7E0A6919B86}">
          <x14:formula1>
            <xm:f>parms_list!$N$2:$N$3</xm:f>
          </x14:formula1>
          <xm:sqref>D72 G72 J72 M72 P72 S72 V72 Y72 AB72 AE72</xm:sqref>
        </x14:dataValidation>
        <x14:dataValidation type="list" allowBlank="1" showInputMessage="1" showErrorMessage="1" xr:uid="{7EAC8F7A-28A5-4F1A-9C68-1A91D801FEFA}">
          <x14:formula1>
            <xm:f>IF(C$9 = "pig", parms_list!$B$2:$B$5,IF(C$9 = "cattle", parms_list!$B$9:$B$29, parms_list!$B$31:$B$35))</xm:f>
          </x14:formula1>
          <xm:sqref>D10 G10 J10 M10 P10 S10 V10 Y10 AB10 AE10</xm:sqref>
        </x14:dataValidation>
        <x14:dataValidation type="list" allowBlank="1" showInputMessage="1" showErrorMessage="1" xr:uid="{3DF82867-F43D-4F64-8A80-D8DBE4536E39}">
          <x14:formula1>
            <xm:f>IF(C9="pig",parms_list!$D$2:$D$18,IF(C9="cattle", parms_list!$D$20:$D$29,parms_list!$D$31:$D$42))</xm:f>
          </x14:formula1>
          <xm:sqref>D12 G12 J12 M12 P12 S12 V12 Y12 AB12 AE12</xm:sqref>
        </x14:dataValidation>
        <x14:dataValidation type="list" allowBlank="1" showInputMessage="1" showErrorMessage="1" xr:uid="{225CB0BA-4718-4A87-B2A5-8C722CB4AF50}">
          <x14:formula1>
            <xm:f>IF($C$9="cattle",parms_list!$L$2:$L$480,IF($C$9="pig",parms_list!$K$2:$K$42,parms_list!$L$2:$L$480))</xm:f>
          </x14:formula1>
          <xm:sqref>B47 B48 B49 B50 B51 B52 B53 B54 B55 B56 B57 B58 B59 B60:B61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7"/>
  <dimension ref="A1:GD102"/>
  <sheetViews>
    <sheetView topLeftCell="A29" zoomScale="70" zoomScaleNormal="70" workbookViewId="0">
      <selection activeCell="D65" sqref="D65"/>
    </sheetView>
  </sheetViews>
  <sheetFormatPr defaultColWidth="11.5703125" defaultRowHeight="15" x14ac:dyDescent="0.25"/>
  <cols>
    <col min="1" max="1" width="12" bestFit="1" customWidth="1"/>
    <col min="2" max="2" width="41.42578125" bestFit="1" customWidth="1"/>
    <col min="3" max="3" width="14.85546875" bestFit="1" customWidth="1"/>
    <col min="4" max="4" width="17.85546875" bestFit="1" customWidth="1"/>
    <col min="5" max="5" width="41.42578125" bestFit="1" customWidth="1"/>
    <col min="6" max="6" width="14.85546875" bestFit="1" customWidth="1"/>
    <col min="7" max="7" width="17.85546875" bestFit="1" customWidth="1"/>
    <col min="8" max="8" width="41.42578125" bestFit="1" customWidth="1"/>
    <col min="9" max="9" width="14.85546875" bestFit="1" customWidth="1"/>
    <col min="10" max="10" width="17.85546875" bestFit="1" customWidth="1"/>
    <col min="11" max="11" width="41.42578125" bestFit="1" customWidth="1"/>
    <col min="12" max="12" width="14.85546875" bestFit="1" customWidth="1"/>
    <col min="13" max="13" width="17.85546875" bestFit="1" customWidth="1"/>
    <col min="14" max="14" width="41.42578125" bestFit="1" customWidth="1"/>
    <col min="15" max="15" width="14.85546875" bestFit="1" customWidth="1"/>
    <col min="16" max="16" width="17.85546875" bestFit="1" customWidth="1"/>
    <col min="17" max="17" width="41.42578125" bestFit="1" customWidth="1"/>
    <col min="18" max="18" width="14.85546875" bestFit="1" customWidth="1"/>
    <col min="19" max="19" width="17.85546875" bestFit="1" customWidth="1"/>
    <col min="20" max="20" width="41.42578125" bestFit="1" customWidth="1"/>
    <col min="21" max="21" width="14.85546875" bestFit="1" customWidth="1"/>
    <col min="22" max="22" width="17.85546875" bestFit="1" customWidth="1"/>
    <col min="23" max="23" width="41.42578125" bestFit="1" customWidth="1"/>
    <col min="24" max="24" width="14.85546875" bestFit="1" customWidth="1"/>
    <col min="25" max="25" width="17.85546875" bestFit="1" customWidth="1"/>
    <col min="26" max="26" width="41.42578125" bestFit="1" customWidth="1"/>
    <col min="27" max="27" width="14.85546875" bestFit="1" customWidth="1"/>
    <col min="28" max="28" width="17.85546875" bestFit="1" customWidth="1"/>
    <col min="29" max="29" width="41.42578125" bestFit="1" customWidth="1"/>
    <col min="30" max="30" width="14.85546875" bestFit="1" customWidth="1"/>
    <col min="31" max="31" width="17.85546875" bestFit="1" customWidth="1"/>
  </cols>
  <sheetData>
    <row r="1" spans="1:186" ht="27" hidden="1" customHeight="1" x14ac:dyDescent="0.25">
      <c r="B1" s="9" t="str">
        <f>CONCATENATE("Storage ",_xlfn.CEILING.MATH(COLUMNS($B1:B1)/3))</f>
        <v>Storage 1</v>
      </c>
      <c r="C1" s="9" t="str">
        <f>CONCATENATE("Value ",_xlfn.CEILING.MATH(COLUMNS($B1:C1)/3))</f>
        <v>Value 1</v>
      </c>
      <c r="D1" s="9"/>
      <c r="E1" s="9" t="str">
        <f>CONCATENATE("Storage ",_xlfn.CEILING.MATH(COLUMNS($B1:E1)/3))</f>
        <v>Storage 2</v>
      </c>
      <c r="F1" s="9" t="str">
        <f>CONCATENATE("Value ",_xlfn.CEILING.MATH(COLUMNS($B1:F1)/3))</f>
        <v>Value 2</v>
      </c>
      <c r="G1" s="9"/>
      <c r="H1" s="9" t="str">
        <f>CONCATENATE("Storage ",_xlfn.CEILING.MATH(COLUMNS($B1:H1)/3))</f>
        <v>Storage 3</v>
      </c>
      <c r="I1" s="9" t="str">
        <f>CONCATENATE("Value ",_xlfn.CEILING.MATH(COLUMNS($B1:I1)/3))</f>
        <v>Value 3</v>
      </c>
      <c r="J1" s="9"/>
      <c r="K1" s="9" t="str">
        <f>CONCATENATE("Storage ",_xlfn.CEILING.MATH(COLUMNS($B1:K1)/3))</f>
        <v>Storage 4</v>
      </c>
      <c r="L1" s="9" t="str">
        <f>CONCATENATE("Value ",_xlfn.CEILING.MATH(COLUMNS($B1:L1)/3))</f>
        <v>Value 4</v>
      </c>
      <c r="M1" s="9"/>
      <c r="N1" s="9" t="str">
        <f>CONCATENATE("Storage ",_xlfn.CEILING.MATH(COLUMNS($B1:N1)/3))</f>
        <v>Storage 5</v>
      </c>
      <c r="O1" s="9" t="str">
        <f>CONCATENATE("Value ",_xlfn.CEILING.MATH(COLUMNS($B1:O1)/3))</f>
        <v>Value 5</v>
      </c>
      <c r="P1" s="9"/>
      <c r="Q1" s="9" t="str">
        <f>CONCATENATE("Storage ",_xlfn.CEILING.MATH(COLUMNS($B1:Q1)/3))</f>
        <v>Storage 6</v>
      </c>
      <c r="R1" s="9" t="str">
        <f>CONCATENATE("Value ",_xlfn.CEILING.MATH(COLUMNS($B1:R1)/3))</f>
        <v>Value 6</v>
      </c>
      <c r="S1" s="9"/>
      <c r="T1" s="9" t="str">
        <f>CONCATENATE("Storage ",_xlfn.CEILING.MATH(COLUMNS($B1:T1)/3))</f>
        <v>Storage 7</v>
      </c>
      <c r="U1" s="9" t="str">
        <f>CONCATENATE("Value ",_xlfn.CEILING.MATH(COLUMNS($B1:U1)/3))</f>
        <v>Value 7</v>
      </c>
      <c r="V1" s="9"/>
      <c r="W1" s="9" t="str">
        <f>CONCATENATE("Storage ",_xlfn.CEILING.MATH(COLUMNS($B1:W1)/3))</f>
        <v>Storage 8</v>
      </c>
      <c r="X1" s="9" t="str">
        <f>CONCATENATE("Value ",_xlfn.CEILING.MATH(COLUMNS($B1:X1)/3))</f>
        <v>Value 8</v>
      </c>
      <c r="Y1" s="9"/>
      <c r="Z1" s="9" t="str">
        <f>CONCATENATE("Storage ",_xlfn.CEILING.MATH(COLUMNS($B1:Z1)/3))</f>
        <v>Storage 9</v>
      </c>
      <c r="AA1" s="9" t="str">
        <f>CONCATENATE("Value ",_xlfn.CEILING.MATH(COLUMNS($B1:AA1)/3))</f>
        <v>Value 9</v>
      </c>
      <c r="AB1" s="9"/>
      <c r="AC1" s="9" t="str">
        <f>CONCATENATE("Storage ",_xlfn.CEILING.MATH(COLUMNS($B1:AC1)/3))</f>
        <v>Storage 10</v>
      </c>
      <c r="AD1" s="9" t="str">
        <f>CONCATENATE("Value ",_xlfn.CEILING.MATH(COLUMNS($B1:AD1)/3))</f>
        <v>Value 10</v>
      </c>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c r="FB1" s="9"/>
      <c r="FC1" s="9"/>
      <c r="FD1" s="9"/>
      <c r="FE1" s="9"/>
      <c r="FF1" s="9"/>
      <c r="FG1" s="9"/>
      <c r="FH1" s="9"/>
      <c r="FI1" s="9"/>
      <c r="FJ1" s="9"/>
      <c r="FK1" s="9"/>
      <c r="FL1" s="9"/>
      <c r="FM1" s="9"/>
      <c r="FN1" s="9"/>
      <c r="FO1" s="9"/>
      <c r="FP1" s="9"/>
      <c r="FQ1" s="9"/>
      <c r="FR1" s="9"/>
      <c r="FS1" s="9"/>
      <c r="FT1" s="9"/>
      <c r="FU1" s="9"/>
      <c r="FV1" s="9"/>
      <c r="FW1" s="9"/>
      <c r="FX1" s="9"/>
      <c r="FY1" s="9"/>
      <c r="FZ1" s="9"/>
      <c r="GA1" s="9"/>
      <c r="GB1" s="9"/>
      <c r="GC1" s="9"/>
      <c r="GD1" s="9"/>
    </row>
    <row r="2" spans="1:186" ht="27" hidden="1" customHeight="1" x14ac:dyDescent="0.25"/>
    <row r="3" spans="1:186" ht="27" customHeight="1" x14ac:dyDescent="0.25"/>
    <row r="4" spans="1:186" ht="27" customHeight="1" x14ac:dyDescent="0.25"/>
    <row r="5" spans="1:186" ht="27" customHeight="1" x14ac:dyDescent="0.25"/>
    <row r="6" spans="1:186" ht="15" customHeight="1" x14ac:dyDescent="0.25">
      <c r="A6" s="69" t="s">
        <v>805</v>
      </c>
      <c r="B6" s="31" t="str">
        <f>B1</f>
        <v>Storage 1</v>
      </c>
      <c r="C6" s="31" t="str">
        <f>C1</f>
        <v>Value 1</v>
      </c>
      <c r="D6" s="31" t="s">
        <v>159</v>
      </c>
      <c r="E6" s="31" t="str">
        <f>E1</f>
        <v>Storage 2</v>
      </c>
      <c r="F6" s="31" t="str">
        <f>F1</f>
        <v>Value 2</v>
      </c>
      <c r="G6" s="31" t="s">
        <v>159</v>
      </c>
      <c r="H6" s="31" t="str">
        <f>H1</f>
        <v>Storage 3</v>
      </c>
      <c r="I6" s="31" t="str">
        <f>I1</f>
        <v>Value 3</v>
      </c>
      <c r="J6" s="31" t="s">
        <v>159</v>
      </c>
      <c r="K6" s="31" t="str">
        <f>K1</f>
        <v>Storage 4</v>
      </c>
      <c r="L6" s="31" t="str">
        <f>L1</f>
        <v>Value 4</v>
      </c>
      <c r="M6" s="31" t="s">
        <v>159</v>
      </c>
      <c r="N6" s="31" t="str">
        <f>N1</f>
        <v>Storage 5</v>
      </c>
      <c r="O6" s="31" t="str">
        <f>O1</f>
        <v>Value 5</v>
      </c>
      <c r="P6" s="31" t="s">
        <v>159</v>
      </c>
      <c r="Q6" s="31" t="str">
        <f>Q1</f>
        <v>Storage 6</v>
      </c>
      <c r="R6" s="31" t="str">
        <f>R1</f>
        <v>Value 6</v>
      </c>
      <c r="S6" s="31" t="s">
        <v>159</v>
      </c>
      <c r="T6" s="31" t="str">
        <f>T1</f>
        <v>Storage 7</v>
      </c>
      <c r="U6" s="31" t="str">
        <f>U1</f>
        <v>Value 7</v>
      </c>
      <c r="V6" s="31" t="s">
        <v>159</v>
      </c>
      <c r="W6" s="31" t="str">
        <f>W1</f>
        <v>Storage 8</v>
      </c>
      <c r="X6" s="31" t="str">
        <f>X1</f>
        <v>Value 8</v>
      </c>
      <c r="Y6" s="31" t="s">
        <v>159</v>
      </c>
      <c r="Z6" s="31" t="str">
        <f>Z1</f>
        <v>Storage 9</v>
      </c>
      <c r="AA6" s="31" t="str">
        <f>AA1</f>
        <v>Value 9</v>
      </c>
      <c r="AB6" s="31" t="s">
        <v>159</v>
      </c>
      <c r="AC6" s="31" t="str">
        <f>AC1</f>
        <v>Storage 10</v>
      </c>
      <c r="AD6" s="31" t="str">
        <f>AD1</f>
        <v>Value 10</v>
      </c>
      <c r="AE6" s="31" t="s">
        <v>159</v>
      </c>
    </row>
    <row r="7" spans="1:186" ht="15" customHeight="1" x14ac:dyDescent="0.25">
      <c r="A7" s="70">
        <v>1</v>
      </c>
    </row>
    <row r="8" spans="1:186" x14ac:dyDescent="0.25">
      <c r="B8" s="24" t="s">
        <v>803</v>
      </c>
      <c r="C8" s="25" t="str">
        <f>IF($A$7 &gt;=(COLUMNS($B:C)+1)/3,"active","deactive")</f>
        <v>active</v>
      </c>
      <c r="D8" s="62"/>
      <c r="E8" s="24" t="s">
        <v>803</v>
      </c>
      <c r="F8" s="25" t="str">
        <f>IF($A$7 &gt;=(COLUMNS($B:F)+1)/3,"active","deactive")</f>
        <v>deactive</v>
      </c>
      <c r="G8" s="62"/>
      <c r="H8" s="24" t="s">
        <v>803</v>
      </c>
      <c r="I8" s="25" t="str">
        <f>IF($A$7 &gt;=(COLUMNS($B:I)+1)/3,"active","deactive")</f>
        <v>deactive</v>
      </c>
      <c r="J8" s="62"/>
      <c r="K8" s="24" t="s">
        <v>803</v>
      </c>
      <c r="L8" s="25" t="str">
        <f>IF($A$7 &gt;=(COLUMNS($B:L)+1)/3,"active","deactive")</f>
        <v>deactive</v>
      </c>
      <c r="M8" s="62"/>
      <c r="N8" s="24" t="s">
        <v>803</v>
      </c>
      <c r="O8" s="25" t="str">
        <f>IF($A$7 &gt;=(COLUMNS($B:O)+1)/3,"active","deactive")</f>
        <v>deactive</v>
      </c>
      <c r="P8" s="62"/>
      <c r="Q8" s="24" t="s">
        <v>803</v>
      </c>
      <c r="R8" s="25" t="str">
        <f>IF($A$7 &gt;=(COLUMNS($B:R)+1)/3,"active","deactive")</f>
        <v>deactive</v>
      </c>
      <c r="S8" s="62"/>
      <c r="T8" s="24" t="s">
        <v>803</v>
      </c>
      <c r="U8" s="25" t="str">
        <f>IF($A$7 &gt;=(COLUMNS($B:U)+1)/3,"active","deactive")</f>
        <v>deactive</v>
      </c>
      <c r="V8" s="62"/>
      <c r="W8" s="24" t="s">
        <v>803</v>
      </c>
      <c r="X8" s="25" t="str">
        <f>IF($A$7 &gt;=(COLUMNS($B:X)+1)/3,"active","deactive")</f>
        <v>deactive</v>
      </c>
      <c r="Y8" s="62"/>
      <c r="Z8" s="24" t="s">
        <v>803</v>
      </c>
      <c r="AA8" s="25" t="str">
        <f>IF($A$7 &gt;=(COLUMNS($B:AA)+1)/3,"active","deactive")</f>
        <v>deactive</v>
      </c>
      <c r="AB8" s="62"/>
      <c r="AC8" s="24" t="s">
        <v>803</v>
      </c>
      <c r="AD8" s="25" t="str">
        <f>IF($A$7 &gt;=(COLUMNS($B:AD)+1)/3,"active","deactive")</f>
        <v>deactive</v>
      </c>
      <c r="AE8" s="62"/>
    </row>
    <row r="9" spans="1:186" x14ac:dyDescent="0.25">
      <c r="B9" s="10" t="s">
        <v>194</v>
      </c>
      <c r="C9" s="25">
        <f>IF(COUNT(D9)=1,D9,4)</f>
        <v>5</v>
      </c>
      <c r="D9" s="60">
        <v>5</v>
      </c>
      <c r="E9" s="10" t="s">
        <v>194</v>
      </c>
      <c r="F9" s="25">
        <f>IF(COUNT(G9)=1,G9,4)</f>
        <v>5</v>
      </c>
      <c r="G9" s="60">
        <v>5</v>
      </c>
      <c r="H9" s="10" t="s">
        <v>194</v>
      </c>
      <c r="I9" s="25">
        <f>IF(COUNT(J9)=1,J9,4)</f>
        <v>5</v>
      </c>
      <c r="J9" s="60">
        <v>5</v>
      </c>
      <c r="K9" s="10" t="s">
        <v>194</v>
      </c>
      <c r="L9" s="25">
        <f>IF(COUNT(M9)=1,M9,4)</f>
        <v>5</v>
      </c>
      <c r="M9" s="60">
        <v>5</v>
      </c>
      <c r="N9" s="10" t="s">
        <v>194</v>
      </c>
      <c r="O9" s="25">
        <f>IF(COUNT(P9)=1,P9,4)</f>
        <v>5</v>
      </c>
      <c r="P9" s="60">
        <v>5</v>
      </c>
      <c r="Q9" s="10" t="s">
        <v>194</v>
      </c>
      <c r="R9" s="25">
        <f>IF(COUNT(S9)=1,S9,4)</f>
        <v>5</v>
      </c>
      <c r="S9" s="60">
        <v>5</v>
      </c>
      <c r="T9" s="10" t="s">
        <v>194</v>
      </c>
      <c r="U9" s="25">
        <f>IF(COUNT(V9)=1,V9,4)</f>
        <v>5</v>
      </c>
      <c r="V9" s="60">
        <v>5</v>
      </c>
      <c r="W9" s="10" t="s">
        <v>194</v>
      </c>
      <c r="X9" s="25">
        <f>IF(COUNT(Y9)=1,Y9,4)</f>
        <v>5</v>
      </c>
      <c r="Y9" s="60">
        <v>5</v>
      </c>
      <c r="Z9" s="10" t="s">
        <v>194</v>
      </c>
      <c r="AA9" s="25">
        <f>IF(COUNT(AB9)=1,AB9,4)</f>
        <v>5</v>
      </c>
      <c r="AB9" s="60">
        <v>5</v>
      </c>
      <c r="AC9" s="10" t="s">
        <v>194</v>
      </c>
      <c r="AD9" s="25">
        <f>IF(COUNT(AE9)=1,AE9,4)</f>
        <v>5</v>
      </c>
      <c r="AE9" s="60">
        <v>5</v>
      </c>
    </row>
    <row r="10" spans="1:186" x14ac:dyDescent="0.25">
      <c r="B10" s="10" t="s">
        <v>195</v>
      </c>
      <c r="C10" s="25">
        <f>IF(COUNT(D10)=1,D10,36)</f>
        <v>36</v>
      </c>
      <c r="D10" s="60"/>
      <c r="E10" s="10" t="s">
        <v>195</v>
      </c>
      <c r="F10" s="25">
        <f>IF(COUNT(G10)=1,G10,36)</f>
        <v>36</v>
      </c>
      <c r="G10" s="60"/>
      <c r="H10" s="10" t="s">
        <v>195</v>
      </c>
      <c r="I10" s="25">
        <f>IF(COUNT(J10)=1,J10,36)</f>
        <v>36</v>
      </c>
      <c r="J10" s="60"/>
      <c r="K10" s="10" t="s">
        <v>195</v>
      </c>
      <c r="L10" s="25">
        <f>IF(COUNT(M10)=1,M10,36)</f>
        <v>36</v>
      </c>
      <c r="M10" s="60"/>
      <c r="N10" s="10" t="s">
        <v>195</v>
      </c>
      <c r="O10" s="25">
        <f>IF(COUNT(P10)=1,P10,36)</f>
        <v>36</v>
      </c>
      <c r="P10" s="60"/>
      <c r="Q10" s="10" t="s">
        <v>195</v>
      </c>
      <c r="R10" s="25">
        <f>IF(COUNT(S10)=1,S10,36)</f>
        <v>36</v>
      </c>
      <c r="S10" s="60"/>
      <c r="T10" s="10" t="s">
        <v>195</v>
      </c>
      <c r="U10" s="25">
        <f>IF(COUNT(V10)=1,V10,36)</f>
        <v>36</v>
      </c>
      <c r="V10" s="60"/>
      <c r="W10" s="10" t="s">
        <v>195</v>
      </c>
      <c r="X10" s="25">
        <f>IF(COUNT(Y10)=1,Y10,36)</f>
        <v>36</v>
      </c>
      <c r="Y10" s="60"/>
      <c r="Z10" s="10" t="s">
        <v>195</v>
      </c>
      <c r="AA10" s="25">
        <f>IF(COUNT(AB10)=1,AB10,36)</f>
        <v>36</v>
      </c>
      <c r="AB10" s="60"/>
      <c r="AC10" s="10" t="s">
        <v>195</v>
      </c>
      <c r="AD10" s="25">
        <f>IF(COUNT(AE10)=1,AE10,36)</f>
        <v>36</v>
      </c>
      <c r="AE10" s="60"/>
    </row>
    <row r="11" spans="1:186" ht="16.5" customHeight="1" x14ac:dyDescent="0.25">
      <c r="B11" s="10" t="s">
        <v>196</v>
      </c>
      <c r="C11" s="25">
        <f>PI()*(C10/2)^2*C9</f>
        <v>5089.3800988154644</v>
      </c>
      <c r="D11" s="63"/>
      <c r="E11" s="10" t="s">
        <v>196</v>
      </c>
      <c r="F11" s="25">
        <f>PI()*(F10/2)^2*F9</f>
        <v>5089.3800988154644</v>
      </c>
      <c r="G11" s="63"/>
      <c r="H11" s="10" t="s">
        <v>196</v>
      </c>
      <c r="I11" s="25">
        <f>PI()*(I10/2)^2*I9</f>
        <v>5089.3800988154644</v>
      </c>
      <c r="J11" s="63"/>
      <c r="K11" s="10" t="s">
        <v>196</v>
      </c>
      <c r="L11" s="25">
        <f>PI()*(L10/2)^2*L9</f>
        <v>5089.3800988154644</v>
      </c>
      <c r="M11" s="63"/>
      <c r="N11" s="10" t="s">
        <v>196</v>
      </c>
      <c r="O11" s="25">
        <f>PI()*(O10/2)^2*O9</f>
        <v>5089.3800988154644</v>
      </c>
      <c r="P11" s="63"/>
      <c r="Q11" s="10" t="s">
        <v>196</v>
      </c>
      <c r="R11" s="25">
        <f>PI()*(R10/2)^2*R9</f>
        <v>5089.3800988154644</v>
      </c>
      <c r="S11" s="63"/>
      <c r="T11" s="10" t="s">
        <v>196</v>
      </c>
      <c r="U11" s="25">
        <f>PI()*(U10/2)^2*U9</f>
        <v>5089.3800988154644</v>
      </c>
      <c r="V11" s="63"/>
      <c r="W11" s="10" t="s">
        <v>196</v>
      </c>
      <c r="X11" s="25">
        <f>PI()*(X10/2)^2*X9</f>
        <v>5089.3800988154644</v>
      </c>
      <c r="Y11" s="63"/>
      <c r="Z11" s="10" t="s">
        <v>196</v>
      </c>
      <c r="AA11" s="25">
        <f>PI()*(AA10/2)^2*AA9</f>
        <v>5089.3800988154644</v>
      </c>
      <c r="AB11" s="63"/>
      <c r="AC11" s="10" t="s">
        <v>196</v>
      </c>
      <c r="AD11" s="25">
        <f>PI()*(AD10/2)^2*AD9</f>
        <v>5089.3800988154644</v>
      </c>
      <c r="AE11" s="63"/>
    </row>
    <row r="12" spans="1:186" x14ac:dyDescent="0.25">
      <c r="B12" s="10" t="s">
        <v>192</v>
      </c>
      <c r="C12" s="25">
        <f>IF(COUNT(D12)=1,D12,_xlfn.CEILING.MATH(COLUMNS($B1:C1)/3))</f>
        <v>1</v>
      </c>
      <c r="D12" s="60"/>
      <c r="E12" s="10" t="s">
        <v>192</v>
      </c>
      <c r="F12" s="25">
        <f>IF(COUNT(G12)=1,G12,_xlfn.CEILING.MATH(COLUMNS($B1:F1)/3))</f>
        <v>2</v>
      </c>
      <c r="G12" s="60"/>
      <c r="H12" s="10" t="s">
        <v>192</v>
      </c>
      <c r="I12" s="25">
        <f>IF(COUNT(J12)=1,J12,_xlfn.CEILING.MATH(COLUMNS($B1:I1)/3))</f>
        <v>3</v>
      </c>
      <c r="J12" s="60"/>
      <c r="K12" s="10" t="s">
        <v>192</v>
      </c>
      <c r="L12" s="25">
        <f>IF(COUNT(M12)=1,M12,_xlfn.CEILING.MATH(COLUMNS($B1:L1)/3))</f>
        <v>4</v>
      </c>
      <c r="M12" s="60"/>
      <c r="N12" s="10" t="s">
        <v>192</v>
      </c>
      <c r="O12" s="25">
        <f>IF(COUNT(P12)=1,P12,_xlfn.CEILING.MATH(COLUMNS($B1:O1)/3))</f>
        <v>5</v>
      </c>
      <c r="P12" s="60"/>
      <c r="Q12" s="10" t="s">
        <v>192</v>
      </c>
      <c r="R12" s="25">
        <f>IF(COUNT(S12)=1,S12,_xlfn.CEILING.MATH(COLUMNS($B1:R1)/3))</f>
        <v>6</v>
      </c>
      <c r="S12" s="60"/>
      <c r="T12" s="10" t="s">
        <v>192</v>
      </c>
      <c r="U12" s="25">
        <f>IF(COUNT(V12)=1,V12,_xlfn.CEILING.MATH(COLUMNS($B1:U1)/3))</f>
        <v>7</v>
      </c>
      <c r="V12" s="60"/>
      <c r="W12" s="10" t="s">
        <v>192</v>
      </c>
      <c r="X12" s="25">
        <f>IF(COUNT(Y12)=1,Y12,_xlfn.CEILING.MATH(COLUMNS($B1:X1)/3))</f>
        <v>8</v>
      </c>
      <c r="Y12" s="60"/>
      <c r="Z12" s="10" t="s">
        <v>192</v>
      </c>
      <c r="AA12" s="25">
        <f>IF(COUNT(AB12)=1,AB12,_xlfn.CEILING.MATH(COLUMNS($B1:AA1)/3))</f>
        <v>9</v>
      </c>
      <c r="AB12" s="60"/>
      <c r="AC12" s="10" t="s">
        <v>192</v>
      </c>
      <c r="AD12" s="25">
        <f>IF(COUNT(AE12)=1,AE12,_xlfn.CEILING.MATH(COLUMNS($B1:AD1)/3))</f>
        <v>10</v>
      </c>
      <c r="AE12" s="60"/>
    </row>
    <row r="13" spans="1:186" x14ac:dyDescent="0.25">
      <c r="B13" s="10"/>
      <c r="C13" s="25"/>
      <c r="D13" s="63"/>
      <c r="E13" s="10"/>
      <c r="F13" s="25"/>
      <c r="G13" s="63"/>
      <c r="H13" s="10"/>
      <c r="I13" s="25"/>
      <c r="J13" s="63"/>
      <c r="K13" s="10"/>
      <c r="L13" s="25"/>
      <c r="M13" s="63"/>
      <c r="N13" s="10"/>
      <c r="O13" s="25"/>
      <c r="P13" s="63"/>
      <c r="Q13" s="10"/>
      <c r="R13" s="25"/>
      <c r="S13" s="63"/>
      <c r="T13" s="10"/>
      <c r="U13" s="25"/>
      <c r="V13" s="63"/>
      <c r="W13" s="10"/>
      <c r="X13" s="25"/>
      <c r="Y13" s="63"/>
      <c r="Z13" s="10"/>
      <c r="AA13" s="25"/>
      <c r="AB13" s="63"/>
      <c r="AC13" s="10"/>
      <c r="AD13" s="25"/>
      <c r="AE13" s="63"/>
    </row>
    <row r="14" spans="1:186" x14ac:dyDescent="0.25">
      <c r="B14" s="10" t="s">
        <v>197</v>
      </c>
      <c r="C14" s="25">
        <f>IF(COUNT(D14)=1,D14,4)</f>
        <v>5</v>
      </c>
      <c r="D14" s="60">
        <v>5</v>
      </c>
      <c r="E14" s="10" t="s">
        <v>197</v>
      </c>
      <c r="F14" s="25">
        <f>IF(COUNT(G14)=1,G14,4)</f>
        <v>5</v>
      </c>
      <c r="G14" s="60">
        <v>5</v>
      </c>
      <c r="H14" s="10" t="s">
        <v>197</v>
      </c>
      <c r="I14" s="25">
        <f>IF(COUNT(J14)=1,J14,4)</f>
        <v>5</v>
      </c>
      <c r="J14" s="60">
        <v>5</v>
      </c>
      <c r="K14" s="10" t="s">
        <v>197</v>
      </c>
      <c r="L14" s="25">
        <f>IF(COUNT(M14)=1,M14,4)</f>
        <v>5</v>
      </c>
      <c r="M14" s="60">
        <v>5</v>
      </c>
      <c r="N14" s="10" t="s">
        <v>197</v>
      </c>
      <c r="O14" s="25">
        <f>IF(COUNT(P14)=1,P14,4)</f>
        <v>5</v>
      </c>
      <c r="P14" s="60">
        <v>5</v>
      </c>
      <c r="Q14" s="10" t="s">
        <v>197</v>
      </c>
      <c r="R14" s="25">
        <f>IF(COUNT(S14)=1,S14,4)</f>
        <v>5</v>
      </c>
      <c r="S14" s="60">
        <v>5</v>
      </c>
      <c r="T14" s="10" t="s">
        <v>197</v>
      </c>
      <c r="U14" s="25">
        <f>IF(COUNT(V14)=1,V14,4)</f>
        <v>5</v>
      </c>
      <c r="V14" s="60">
        <v>5</v>
      </c>
      <c r="W14" s="10" t="s">
        <v>197</v>
      </c>
      <c r="X14" s="25">
        <f>IF(COUNT(Y14)=1,Y14,4)</f>
        <v>5</v>
      </c>
      <c r="Y14" s="60">
        <v>5</v>
      </c>
      <c r="Z14" s="10" t="s">
        <v>197</v>
      </c>
      <c r="AA14" s="25">
        <f>IF(COUNT(AB14)=1,AB14,4)</f>
        <v>5</v>
      </c>
      <c r="AB14" s="60">
        <v>5</v>
      </c>
      <c r="AC14" s="10" t="s">
        <v>197</v>
      </c>
      <c r="AD14" s="25">
        <f>IF(COUNT(AE14)=1,AE14,4)</f>
        <v>5</v>
      </c>
      <c r="AE14" s="60">
        <v>5</v>
      </c>
    </row>
    <row r="15" spans="1:186" x14ac:dyDescent="0.25">
      <c r="B15" s="10" t="s">
        <v>198</v>
      </c>
      <c r="C15" s="25">
        <f>IF(COUNT(D15)=1,D15,36)</f>
        <v>36</v>
      </c>
      <c r="D15" s="60"/>
      <c r="E15" s="10" t="s">
        <v>198</v>
      </c>
      <c r="F15" s="25">
        <f>IF(COUNT(G15)=1,G15,36)</f>
        <v>36</v>
      </c>
      <c r="G15" s="60"/>
      <c r="H15" s="10" t="s">
        <v>198</v>
      </c>
      <c r="I15" s="25">
        <f>IF(COUNT(J15)=1,J15,36)</f>
        <v>36</v>
      </c>
      <c r="J15" s="60"/>
      <c r="K15" s="10" t="s">
        <v>198</v>
      </c>
      <c r="L15" s="25">
        <f>IF(COUNT(M15)=1,M15,36)</f>
        <v>36</v>
      </c>
      <c r="M15" s="60"/>
      <c r="N15" s="10" t="s">
        <v>198</v>
      </c>
      <c r="O15" s="25">
        <f>IF(COUNT(P15)=1,P15,36)</f>
        <v>36</v>
      </c>
      <c r="P15" s="60"/>
      <c r="Q15" s="10" t="s">
        <v>198</v>
      </c>
      <c r="R15" s="25">
        <f>IF(COUNT(S15)=1,S15,36)</f>
        <v>36</v>
      </c>
      <c r="S15" s="60"/>
      <c r="T15" s="10" t="s">
        <v>198</v>
      </c>
      <c r="U15" s="25">
        <f>IF(COUNT(V15)=1,V15,36)</f>
        <v>36</v>
      </c>
      <c r="V15" s="60"/>
      <c r="W15" s="10" t="s">
        <v>198</v>
      </c>
      <c r="X15" s="25">
        <f>IF(COUNT(Y15)=1,Y15,36)</f>
        <v>36</v>
      </c>
      <c r="Y15" s="60"/>
      <c r="Z15" s="10" t="s">
        <v>198</v>
      </c>
      <c r="AA15" s="25">
        <f>IF(COUNT(AB15)=1,AB15,36)</f>
        <v>36</v>
      </c>
      <c r="AB15" s="60"/>
      <c r="AC15" s="10" t="s">
        <v>198</v>
      </c>
      <c r="AD15" s="25">
        <f>IF(COUNT(AE15)=1,AE15,36)</f>
        <v>36</v>
      </c>
      <c r="AE15" s="60"/>
    </row>
    <row r="16" spans="1:186" ht="15" customHeight="1" x14ac:dyDescent="0.25">
      <c r="B16" s="10" t="s">
        <v>199</v>
      </c>
      <c r="C16" s="25">
        <f>PI()*(C15/2)^2*C14</f>
        <v>5089.3800988154644</v>
      </c>
      <c r="D16" s="63"/>
      <c r="E16" s="10" t="s">
        <v>199</v>
      </c>
      <c r="F16" s="25">
        <f>PI()*(F15/2)^2*F14</f>
        <v>5089.3800988154644</v>
      </c>
      <c r="G16" s="63"/>
      <c r="H16" s="10" t="s">
        <v>199</v>
      </c>
      <c r="I16" s="25">
        <f>PI()*(I15/2)^2*I14</f>
        <v>5089.3800988154644</v>
      </c>
      <c r="J16" s="63"/>
      <c r="K16" s="10" t="s">
        <v>199</v>
      </c>
      <c r="L16" s="25">
        <f>PI()*(L15/2)^2*L14</f>
        <v>5089.3800988154644</v>
      </c>
      <c r="M16" s="63"/>
      <c r="N16" s="10" t="s">
        <v>199</v>
      </c>
      <c r="O16" s="25">
        <f>PI()*(O15/2)^2*O14</f>
        <v>5089.3800988154644</v>
      </c>
      <c r="P16" s="63"/>
      <c r="Q16" s="10" t="s">
        <v>199</v>
      </c>
      <c r="R16" s="25">
        <f>PI()*(R15/2)^2*R14</f>
        <v>5089.3800988154644</v>
      </c>
      <c r="S16" s="63"/>
      <c r="T16" s="10" t="s">
        <v>199</v>
      </c>
      <c r="U16" s="25">
        <f>PI()*(U15/2)^2*U14</f>
        <v>5089.3800988154644</v>
      </c>
      <c r="V16" s="63"/>
      <c r="W16" s="10" t="s">
        <v>199</v>
      </c>
      <c r="X16" s="25">
        <f>PI()*(X15/2)^2*X14</f>
        <v>5089.3800988154644</v>
      </c>
      <c r="Y16" s="63"/>
      <c r="Z16" s="10" t="s">
        <v>199</v>
      </c>
      <c r="AA16" s="25">
        <f>PI()*(AA15/2)^2*AA14</f>
        <v>5089.3800988154644</v>
      </c>
      <c r="AB16" s="63"/>
      <c r="AC16" s="10" t="s">
        <v>199</v>
      </c>
      <c r="AD16" s="25">
        <f>PI()*(AD15/2)^2*AD14</f>
        <v>5089.3800988154644</v>
      </c>
      <c r="AE16" s="63"/>
    </row>
    <row r="17" spans="2:31" ht="15" customHeight="1" x14ac:dyDescent="0.25">
      <c r="B17" s="10" t="s">
        <v>191</v>
      </c>
      <c r="C17" s="25">
        <f>IF(COUNT(D17)=1,D17,_xlfn.CEILING.MATH(COLUMNS($B1:C1)/3))</f>
        <v>1</v>
      </c>
      <c r="D17" s="61"/>
      <c r="E17" s="10" t="s">
        <v>191</v>
      </c>
      <c r="F17" s="25">
        <f>IF(COUNT(G17)=1,G17,_xlfn.CEILING.MATH(COLUMNS($B1:F1)/3))</f>
        <v>2</v>
      </c>
      <c r="G17" s="61"/>
      <c r="H17" s="10" t="s">
        <v>191</v>
      </c>
      <c r="I17" s="25">
        <f>IF(COUNT(J17)=1,J17,_xlfn.CEILING.MATH(COLUMNS($B1:I1)/3))</f>
        <v>3</v>
      </c>
      <c r="J17" s="61"/>
      <c r="K17" s="10" t="s">
        <v>191</v>
      </c>
      <c r="L17" s="25">
        <f>IF(COUNT(M17)=1,M17,_xlfn.CEILING.MATH(COLUMNS($B1:L1)/3))</f>
        <v>4</v>
      </c>
      <c r="M17" s="61"/>
      <c r="N17" s="10" t="s">
        <v>191</v>
      </c>
      <c r="O17" s="25">
        <f>IF(COUNT(P17)=1,P17,_xlfn.CEILING.MATH(COLUMNS($B1:O1)/3))</f>
        <v>5</v>
      </c>
      <c r="P17" s="61"/>
      <c r="Q17" s="10" t="s">
        <v>191</v>
      </c>
      <c r="R17" s="25">
        <f>IF(COUNT(S17)=1,S17,_xlfn.CEILING.MATH(COLUMNS($B1:R1)/3))</f>
        <v>6</v>
      </c>
      <c r="S17" s="61"/>
      <c r="T17" s="10" t="s">
        <v>191</v>
      </c>
      <c r="U17" s="25">
        <f>IF(COUNT(V17)=1,V17,_xlfn.CEILING.MATH(COLUMNS($B1:U1)/3))</f>
        <v>7</v>
      </c>
      <c r="V17" s="61"/>
      <c r="W17" s="10" t="s">
        <v>191</v>
      </c>
      <c r="X17" s="25">
        <f>IF(COUNT(Y17)=1,Y17,_xlfn.CEILING.MATH(COLUMNS($B1:X1)/3))</f>
        <v>8</v>
      </c>
      <c r="Y17" s="61"/>
      <c r="Z17" s="10" t="s">
        <v>191</v>
      </c>
      <c r="AA17" s="25">
        <f>IF(COUNT(AB17)=1,AB17,_xlfn.CEILING.MATH(COLUMNS($B1:AA1)/3))</f>
        <v>9</v>
      </c>
      <c r="AB17" s="61"/>
      <c r="AC17" s="10" t="s">
        <v>191</v>
      </c>
      <c r="AD17" s="25">
        <f>IF(COUNT(AE17)=1,AE17,_xlfn.CEILING.MATH(COLUMNS($B1:AD1)/3))</f>
        <v>10</v>
      </c>
      <c r="AE17" s="61"/>
    </row>
    <row r="18" spans="2:31" x14ac:dyDescent="0.25">
      <c r="C18" s="14"/>
      <c r="D18" s="9"/>
      <c r="F18" s="14"/>
      <c r="G18" s="9"/>
      <c r="I18" s="14"/>
      <c r="J18" s="9"/>
      <c r="L18" s="14"/>
      <c r="M18" s="9"/>
      <c r="O18" s="14"/>
      <c r="P18" s="9"/>
      <c r="R18" s="14"/>
      <c r="S18" s="9"/>
      <c r="U18" s="14"/>
      <c r="V18" s="9"/>
      <c r="X18" s="14"/>
      <c r="Y18" s="9"/>
      <c r="AA18" s="14"/>
      <c r="AB18" s="9"/>
      <c r="AD18" s="14"/>
      <c r="AE18" s="9"/>
    </row>
    <row r="19" spans="2:31" x14ac:dyDescent="0.25">
      <c r="B19" s="24" t="s">
        <v>179</v>
      </c>
      <c r="C19" s="25"/>
      <c r="D19" s="62"/>
      <c r="E19" s="24" t="s">
        <v>179</v>
      </c>
      <c r="F19" s="25"/>
      <c r="G19" s="62"/>
      <c r="H19" s="24" t="s">
        <v>179</v>
      </c>
      <c r="I19" s="25"/>
      <c r="J19" s="62"/>
      <c r="K19" s="24" t="s">
        <v>179</v>
      </c>
      <c r="L19" s="25"/>
      <c r="M19" s="62"/>
      <c r="N19" s="24" t="s">
        <v>179</v>
      </c>
      <c r="O19" s="25"/>
      <c r="P19" s="62"/>
      <c r="Q19" s="24" t="s">
        <v>179</v>
      </c>
      <c r="R19" s="25"/>
      <c r="S19" s="62"/>
      <c r="T19" s="24" t="s">
        <v>179</v>
      </c>
      <c r="U19" s="25"/>
      <c r="V19" s="62"/>
      <c r="W19" s="24" t="s">
        <v>179</v>
      </c>
      <c r="X19" s="25"/>
      <c r="Y19" s="62"/>
      <c r="Z19" s="24" t="s">
        <v>179</v>
      </c>
      <c r="AA19" s="25"/>
      <c r="AB19" s="62"/>
      <c r="AC19" s="24" t="s">
        <v>179</v>
      </c>
      <c r="AD19" s="25"/>
      <c r="AE19" s="62"/>
    </row>
    <row r="20" spans="2:31" x14ac:dyDescent="0.25">
      <c r="B20" s="10" t="s">
        <v>200</v>
      </c>
      <c r="C20" s="36" t="str">
        <f>IF(ISBLANK(D20), "tent", D20)</f>
        <v>tent</v>
      </c>
      <c r="D20" s="63" t="s">
        <v>201</v>
      </c>
      <c r="E20" s="10" t="s">
        <v>200</v>
      </c>
      <c r="F20" s="36" t="str">
        <f>IF(ISBLANK(G20), "tent", G20)</f>
        <v>tent</v>
      </c>
      <c r="G20" s="63" t="s">
        <v>201</v>
      </c>
      <c r="H20" s="10" t="s">
        <v>200</v>
      </c>
      <c r="I20" s="36" t="str">
        <f>IF(ISBLANK(J20), "tent", J20)</f>
        <v>tent</v>
      </c>
      <c r="J20" s="63" t="s">
        <v>201</v>
      </c>
      <c r="K20" s="10" t="s">
        <v>200</v>
      </c>
      <c r="L20" s="36" t="str">
        <f>IF(ISBLANK(M20), "tent", M20)</f>
        <v>tent</v>
      </c>
      <c r="M20" s="63" t="s">
        <v>201</v>
      </c>
      <c r="N20" s="10" t="s">
        <v>200</v>
      </c>
      <c r="O20" s="36" t="str">
        <f>IF(ISBLANK(P20), "tent", P20)</f>
        <v>tent</v>
      </c>
      <c r="P20" s="63" t="s">
        <v>201</v>
      </c>
      <c r="Q20" s="10" t="s">
        <v>200</v>
      </c>
      <c r="R20" s="36" t="str">
        <f>IF(ISBLANK(S20), "tent", S20)</f>
        <v>tent</v>
      </c>
      <c r="S20" s="63" t="s">
        <v>201</v>
      </c>
      <c r="T20" s="10" t="s">
        <v>200</v>
      </c>
      <c r="U20" s="36" t="str">
        <f>IF(ISBLANK(V20), "tent", V20)</f>
        <v>tent</v>
      </c>
      <c r="V20" s="63" t="s">
        <v>201</v>
      </c>
      <c r="W20" s="10" t="s">
        <v>200</v>
      </c>
      <c r="X20" s="36" t="str">
        <f>IF(ISBLANK(Y20), "tent", Y20)</f>
        <v>tent</v>
      </c>
      <c r="Y20" s="63" t="s">
        <v>201</v>
      </c>
      <c r="Z20" s="10" t="s">
        <v>200</v>
      </c>
      <c r="AA20" s="36" t="str">
        <f>IF(ISBLANK(AB20), "tent", AB20)</f>
        <v>tent</v>
      </c>
      <c r="AB20" s="63" t="s">
        <v>201</v>
      </c>
      <c r="AC20" s="10" t="s">
        <v>200</v>
      </c>
      <c r="AD20" s="36" t="str">
        <f>IF(ISBLANK(AE20), "tent", AE20)</f>
        <v>tent</v>
      </c>
      <c r="AE20" s="63" t="s">
        <v>201</v>
      </c>
    </row>
    <row r="21" spans="2:31" x14ac:dyDescent="0.25">
      <c r="B21" s="27" t="s">
        <v>202</v>
      </c>
      <c r="C21" s="36" t="str">
        <f>IF(ISBLANK(D21), "none", D21)</f>
        <v>none</v>
      </c>
      <c r="D21" s="63" t="s">
        <v>181</v>
      </c>
      <c r="E21" s="27" t="s">
        <v>202</v>
      </c>
      <c r="F21" s="36" t="str">
        <f>IF(ISBLANK(G21), "none", G21)</f>
        <v>none</v>
      </c>
      <c r="G21" s="63" t="s">
        <v>181</v>
      </c>
      <c r="H21" s="27" t="s">
        <v>202</v>
      </c>
      <c r="I21" s="36" t="str">
        <f>IF(ISBLANK(J21), "none", J21)</f>
        <v>none</v>
      </c>
      <c r="J21" s="63" t="s">
        <v>181</v>
      </c>
      <c r="K21" s="27" t="s">
        <v>202</v>
      </c>
      <c r="L21" s="36" t="str">
        <f>IF(ISBLANK(M21), "none", M21)</f>
        <v>none</v>
      </c>
      <c r="M21" s="63" t="s">
        <v>181</v>
      </c>
      <c r="N21" s="27" t="s">
        <v>202</v>
      </c>
      <c r="O21" s="36" t="str">
        <f>IF(ISBLANK(P21), "none", P21)</f>
        <v>none</v>
      </c>
      <c r="P21" s="63" t="s">
        <v>181</v>
      </c>
      <c r="Q21" s="27" t="s">
        <v>202</v>
      </c>
      <c r="R21" s="36" t="str">
        <f>IF(ISBLANK(S21), "none", S21)</f>
        <v>none</v>
      </c>
      <c r="S21" s="63" t="s">
        <v>181</v>
      </c>
      <c r="T21" s="27" t="s">
        <v>202</v>
      </c>
      <c r="U21" s="36" t="str">
        <f>IF(ISBLANK(V21), "none", V21)</f>
        <v>none</v>
      </c>
      <c r="V21" s="63" t="s">
        <v>181</v>
      </c>
      <c r="W21" s="27" t="s">
        <v>202</v>
      </c>
      <c r="X21" s="36" t="str">
        <f>IF(ISBLANK(Y21), "none", Y21)</f>
        <v>none</v>
      </c>
      <c r="Y21" s="63" t="s">
        <v>181</v>
      </c>
      <c r="Z21" s="27" t="s">
        <v>202</v>
      </c>
      <c r="AA21" s="36" t="str">
        <f>IF(ISBLANK(AB21), "none", AB21)</f>
        <v>none</v>
      </c>
      <c r="AB21" s="63" t="s">
        <v>181</v>
      </c>
      <c r="AC21" s="27" t="s">
        <v>202</v>
      </c>
      <c r="AD21" s="36" t="str">
        <f>IF(ISBLANK(AE21), "none", AE21)</f>
        <v>none</v>
      </c>
      <c r="AE21" s="63" t="s">
        <v>181</v>
      </c>
    </row>
    <row r="22" spans="2:31" ht="16.5" customHeight="1" x14ac:dyDescent="0.25">
      <c r="B22" s="27" t="s">
        <v>203</v>
      </c>
      <c r="C22" s="25">
        <f>IF(COUNT(D22)=1,D22,6)</f>
        <v>6</v>
      </c>
      <c r="D22" s="60"/>
      <c r="E22" s="27" t="s">
        <v>203</v>
      </c>
      <c r="F22" s="25">
        <f>IF(COUNT(G22)=1,G22,6)</f>
        <v>6</v>
      </c>
      <c r="G22" s="60"/>
      <c r="H22" s="27" t="s">
        <v>203</v>
      </c>
      <c r="I22" s="25">
        <f>IF(COUNT(J22)=1,J22,6)</f>
        <v>6</v>
      </c>
      <c r="J22" s="60"/>
      <c r="K22" s="27" t="s">
        <v>203</v>
      </c>
      <c r="L22" s="25">
        <f>IF(COUNT(M22)=1,M22,6)</f>
        <v>6</v>
      </c>
      <c r="M22" s="60"/>
      <c r="N22" s="27" t="s">
        <v>203</v>
      </c>
      <c r="O22" s="25">
        <f>IF(COUNT(P22)=1,P22,6)</f>
        <v>6</v>
      </c>
      <c r="P22" s="60"/>
      <c r="Q22" s="27" t="s">
        <v>203</v>
      </c>
      <c r="R22" s="25">
        <f>IF(COUNT(S22)=1,S22,6)</f>
        <v>6</v>
      </c>
      <c r="S22" s="60"/>
      <c r="T22" s="27" t="s">
        <v>203</v>
      </c>
      <c r="U22" s="25">
        <f>IF(COUNT(V22)=1,V22,6)</f>
        <v>6</v>
      </c>
      <c r="V22" s="60"/>
      <c r="W22" s="27" t="s">
        <v>203</v>
      </c>
      <c r="X22" s="25">
        <f>IF(COUNT(Y22)=1,Y22,6)</f>
        <v>6</v>
      </c>
      <c r="Y22" s="60"/>
      <c r="Z22" s="27" t="s">
        <v>203</v>
      </c>
      <c r="AA22" s="25">
        <f>IF(COUNT(AB22)=1,AB22,6)</f>
        <v>6</v>
      </c>
      <c r="AB22" s="60"/>
      <c r="AC22" s="27" t="s">
        <v>203</v>
      </c>
      <c r="AD22" s="25">
        <f>IF(COUNT(AE22)=1,AE22,6)</f>
        <v>6</v>
      </c>
      <c r="AE22" s="60"/>
    </row>
    <row r="23" spans="2:31" x14ac:dyDescent="0.25">
      <c r="B23" s="27" t="s">
        <v>204</v>
      </c>
      <c r="C23" s="36" t="str">
        <f>IF(ISBLANK(D23), "none", D23)</f>
        <v>none</v>
      </c>
      <c r="D23" s="60" t="s">
        <v>181</v>
      </c>
      <c r="E23" s="27" t="s">
        <v>204</v>
      </c>
      <c r="F23" s="36" t="str">
        <f>IF(ISBLANK(G23), "none", G23)</f>
        <v>none</v>
      </c>
      <c r="G23" s="60" t="s">
        <v>181</v>
      </c>
      <c r="H23" s="27" t="s">
        <v>204</v>
      </c>
      <c r="I23" s="36" t="str">
        <f>IF(ISBLANK(J23), "none", J23)</f>
        <v>none</v>
      </c>
      <c r="J23" s="60" t="s">
        <v>181</v>
      </c>
      <c r="K23" s="27" t="s">
        <v>204</v>
      </c>
      <c r="L23" s="36" t="str">
        <f>IF(ISBLANK(M23), "none", M23)</f>
        <v>none</v>
      </c>
      <c r="M23" s="60" t="s">
        <v>181</v>
      </c>
      <c r="N23" s="27" t="s">
        <v>204</v>
      </c>
      <c r="O23" s="36" t="str">
        <f>IF(ISBLANK(P23), "none", P23)</f>
        <v>none</v>
      </c>
      <c r="P23" s="60" t="s">
        <v>181</v>
      </c>
      <c r="Q23" s="27" t="s">
        <v>204</v>
      </c>
      <c r="R23" s="36" t="str">
        <f>IF(ISBLANK(S23), "none", S23)</f>
        <v>none</v>
      </c>
      <c r="S23" s="60" t="s">
        <v>181</v>
      </c>
      <c r="T23" s="27" t="s">
        <v>204</v>
      </c>
      <c r="U23" s="36" t="str">
        <f>IF(ISBLANK(V23), "none", V23)</f>
        <v>none</v>
      </c>
      <c r="V23" s="60" t="s">
        <v>181</v>
      </c>
      <c r="W23" s="27" t="s">
        <v>204</v>
      </c>
      <c r="X23" s="36" t="str">
        <f>IF(ISBLANK(Y23), "none", Y23)</f>
        <v>none</v>
      </c>
      <c r="Y23" s="60" t="s">
        <v>181</v>
      </c>
      <c r="Z23" s="27" t="s">
        <v>204</v>
      </c>
      <c r="AA23" s="36" t="str">
        <f>IF(ISBLANK(AB23), "none", AB23)</f>
        <v>none</v>
      </c>
      <c r="AB23" s="60" t="s">
        <v>181</v>
      </c>
      <c r="AC23" s="27" t="s">
        <v>204</v>
      </c>
      <c r="AD23" s="36" t="str">
        <f>IF(ISBLANK(AE23), "none", AE23)</f>
        <v>none</v>
      </c>
      <c r="AE23" s="60" t="s">
        <v>181</v>
      </c>
    </row>
    <row r="24" spans="2:31" x14ac:dyDescent="0.25">
      <c r="B24" s="27" t="s">
        <v>132</v>
      </c>
      <c r="C24" s="25">
        <f>IF(COUNT(D24)=1,D24,40)</f>
        <v>40</v>
      </c>
      <c r="D24" s="60"/>
      <c r="E24" s="27" t="s">
        <v>132</v>
      </c>
      <c r="F24" s="25">
        <f>IF(COUNT(G24)=1,G24,40)</f>
        <v>40</v>
      </c>
      <c r="G24" s="60"/>
      <c r="H24" s="27" t="s">
        <v>132</v>
      </c>
      <c r="I24" s="25">
        <f>IF(COUNT(J24)=1,J24,40)</f>
        <v>40</v>
      </c>
      <c r="J24" s="60"/>
      <c r="K24" s="27" t="s">
        <v>132</v>
      </c>
      <c r="L24" s="25">
        <f>IF(COUNT(M24)=1,M24,40)</f>
        <v>40</v>
      </c>
      <c r="M24" s="60"/>
      <c r="N24" s="27" t="s">
        <v>132</v>
      </c>
      <c r="O24" s="25">
        <f>IF(COUNT(P24)=1,P24,40)</f>
        <v>40</v>
      </c>
      <c r="P24" s="60"/>
      <c r="Q24" s="27" t="s">
        <v>132</v>
      </c>
      <c r="R24" s="25">
        <f>IF(COUNT(S24)=1,S24,40)</f>
        <v>40</v>
      </c>
      <c r="S24" s="60"/>
      <c r="T24" s="27" t="s">
        <v>132</v>
      </c>
      <c r="U24" s="25">
        <f>IF(COUNT(V24)=1,V24,40)</f>
        <v>40</v>
      </c>
      <c r="V24" s="60"/>
      <c r="W24" s="27" t="s">
        <v>132</v>
      </c>
      <c r="X24" s="25">
        <f>IF(COUNT(Y24)=1,Y24,40)</f>
        <v>40</v>
      </c>
      <c r="Y24" s="60"/>
      <c r="Z24" s="27" t="s">
        <v>132</v>
      </c>
      <c r="AA24" s="25">
        <f>IF(COUNT(AB24)=1,AB24,40)</f>
        <v>40</v>
      </c>
      <c r="AB24" s="60"/>
      <c r="AC24" s="27" t="s">
        <v>132</v>
      </c>
      <c r="AD24" s="25">
        <f>IF(COUNT(AE24)=1,AE24,40)</f>
        <v>40</v>
      </c>
      <c r="AE24" s="60"/>
    </row>
    <row r="25" spans="2:31" ht="16.5" customHeight="1" x14ac:dyDescent="0.25">
      <c r="B25" s="27" t="s">
        <v>205</v>
      </c>
      <c r="C25" s="36" t="str">
        <f>IF(ISBLANK(D25), "none", D25)</f>
        <v>none</v>
      </c>
      <c r="D25" s="60" t="s">
        <v>181</v>
      </c>
      <c r="E25" s="27" t="s">
        <v>205</v>
      </c>
      <c r="F25" s="36" t="str">
        <f>IF(ISBLANK(G25), "none", G25)</f>
        <v>none</v>
      </c>
      <c r="G25" s="60" t="s">
        <v>181</v>
      </c>
      <c r="H25" s="27" t="s">
        <v>205</v>
      </c>
      <c r="I25" s="36" t="str">
        <f>IF(ISBLANK(J25), "none", J25)</f>
        <v>none</v>
      </c>
      <c r="J25" s="60" t="s">
        <v>181</v>
      </c>
      <c r="K25" s="27" t="s">
        <v>205</v>
      </c>
      <c r="L25" s="36" t="str">
        <f>IF(ISBLANK(M25), "none", M25)</f>
        <v>none</v>
      </c>
      <c r="M25" s="60" t="s">
        <v>181</v>
      </c>
      <c r="N25" s="27" t="s">
        <v>205</v>
      </c>
      <c r="O25" s="36" t="str">
        <f>IF(ISBLANK(P25), "none", P25)</f>
        <v>none</v>
      </c>
      <c r="P25" s="60" t="s">
        <v>181</v>
      </c>
      <c r="Q25" s="27" t="s">
        <v>205</v>
      </c>
      <c r="R25" s="36" t="str">
        <f>IF(ISBLANK(S25), "none", S25)</f>
        <v>none</v>
      </c>
      <c r="S25" s="60" t="s">
        <v>181</v>
      </c>
      <c r="T25" s="27" t="s">
        <v>205</v>
      </c>
      <c r="U25" s="36" t="str">
        <f>IF(ISBLANK(V25), "none", V25)</f>
        <v>none</v>
      </c>
      <c r="V25" s="60" t="s">
        <v>181</v>
      </c>
      <c r="W25" s="27" t="s">
        <v>205</v>
      </c>
      <c r="X25" s="36" t="str">
        <f>IF(ISBLANK(Y25), "none", Y25)</f>
        <v>none</v>
      </c>
      <c r="Y25" s="60" t="s">
        <v>181</v>
      </c>
      <c r="Z25" s="27" t="s">
        <v>205</v>
      </c>
      <c r="AA25" s="36" t="str">
        <f>IF(ISBLANK(AB25), "none", AB25)</f>
        <v>none</v>
      </c>
      <c r="AB25" s="60" t="s">
        <v>181</v>
      </c>
      <c r="AC25" s="27" t="s">
        <v>205</v>
      </c>
      <c r="AD25" s="36" t="str">
        <f>IF(ISBLANK(AE25), "none", AE25)</f>
        <v>none</v>
      </c>
      <c r="AE25" s="60" t="s">
        <v>181</v>
      </c>
    </row>
    <row r="26" spans="2:31" ht="16.5" customHeight="1" x14ac:dyDescent="0.25">
      <c r="B26" s="27" t="s">
        <v>133</v>
      </c>
      <c r="C26" s="25">
        <f>IF(COUNT(D26)=1,D26,64)</f>
        <v>64</v>
      </c>
      <c r="D26" s="60"/>
      <c r="E26" s="27" t="s">
        <v>133</v>
      </c>
      <c r="F26" s="25">
        <f>IF(COUNT(G26)=1,G26,64)</f>
        <v>64</v>
      </c>
      <c r="G26" s="60"/>
      <c r="H26" s="27" t="s">
        <v>133</v>
      </c>
      <c r="I26" s="25">
        <f>IF(COUNT(J26)=1,J26,64)</f>
        <v>64</v>
      </c>
      <c r="J26" s="60"/>
      <c r="K26" s="27" t="s">
        <v>133</v>
      </c>
      <c r="L26" s="25">
        <f>IF(COUNT(M26)=1,M26,64)</f>
        <v>64</v>
      </c>
      <c r="M26" s="60"/>
      <c r="N26" s="27" t="s">
        <v>133</v>
      </c>
      <c r="O26" s="25">
        <f>IF(COUNT(P26)=1,P26,64)</f>
        <v>64</v>
      </c>
      <c r="P26" s="60"/>
      <c r="Q26" s="27" t="s">
        <v>133</v>
      </c>
      <c r="R26" s="25">
        <f>IF(COUNT(S26)=1,S26,64)</f>
        <v>64</v>
      </c>
      <c r="S26" s="60"/>
      <c r="T26" s="27" t="s">
        <v>133</v>
      </c>
      <c r="U26" s="25">
        <f>IF(COUNT(V26)=1,V26,64)</f>
        <v>64</v>
      </c>
      <c r="V26" s="60"/>
      <c r="W26" s="27" t="s">
        <v>133</v>
      </c>
      <c r="X26" s="25">
        <f>IF(COUNT(Y26)=1,Y26,64)</f>
        <v>64</v>
      </c>
      <c r="Y26" s="60"/>
      <c r="Z26" s="27" t="s">
        <v>133</v>
      </c>
      <c r="AA26" s="25">
        <f>IF(COUNT(AB26)=1,AB26,64)</f>
        <v>64</v>
      </c>
      <c r="AB26" s="60"/>
      <c r="AC26" s="27" t="s">
        <v>133</v>
      </c>
      <c r="AD26" s="25">
        <f>IF(COUNT(AE26)=1,AE26,64)</f>
        <v>64</v>
      </c>
      <c r="AE26" s="60"/>
    </row>
    <row r="27" spans="2:31" ht="16.5" customHeight="1" x14ac:dyDescent="0.25">
      <c r="B27" s="27"/>
      <c r="C27" s="25"/>
      <c r="D27" s="60"/>
      <c r="E27" s="27"/>
      <c r="F27" s="25"/>
      <c r="G27" s="60"/>
      <c r="H27" s="27"/>
      <c r="I27" s="25"/>
      <c r="J27" s="60"/>
      <c r="K27" s="27"/>
      <c r="L27" s="25"/>
      <c r="M27" s="60"/>
      <c r="N27" s="27"/>
      <c r="O27" s="25"/>
      <c r="P27" s="60"/>
      <c r="Q27" s="27"/>
      <c r="R27" s="25"/>
      <c r="S27" s="60"/>
      <c r="T27" s="27"/>
      <c r="U27" s="25"/>
      <c r="V27" s="60"/>
      <c r="W27" s="27"/>
      <c r="X27" s="25"/>
      <c r="Y27" s="60"/>
      <c r="Z27" s="27"/>
      <c r="AA27" s="25"/>
      <c r="AB27" s="60"/>
      <c r="AC27" s="27"/>
      <c r="AD27" s="25"/>
      <c r="AE27" s="60"/>
    </row>
    <row r="28" spans="2:31" ht="16.5" customHeight="1" x14ac:dyDescent="0.25">
      <c r="B28" s="10" t="s">
        <v>206</v>
      </c>
      <c r="C28" s="36" t="str">
        <f>IF(ISBLANK(D28), "none", D28)</f>
        <v>none</v>
      </c>
      <c r="D28" s="63" t="s">
        <v>181</v>
      </c>
      <c r="E28" s="10" t="s">
        <v>206</v>
      </c>
      <c r="F28" s="36" t="str">
        <f>IF(ISBLANK(G28), "none", G28)</f>
        <v>none</v>
      </c>
      <c r="G28" s="63" t="s">
        <v>181</v>
      </c>
      <c r="H28" s="10" t="s">
        <v>206</v>
      </c>
      <c r="I28" s="36" t="str">
        <f>IF(ISBLANK(J28), "none", J28)</f>
        <v>none</v>
      </c>
      <c r="J28" s="63" t="s">
        <v>181</v>
      </c>
      <c r="K28" s="10" t="s">
        <v>206</v>
      </c>
      <c r="L28" s="36" t="str">
        <f>IF(ISBLANK(M28), "none", M28)</f>
        <v>none</v>
      </c>
      <c r="M28" s="63" t="s">
        <v>181</v>
      </c>
      <c r="N28" s="10" t="s">
        <v>206</v>
      </c>
      <c r="O28" s="36" t="str">
        <f>IF(ISBLANK(P28), "none", P28)</f>
        <v>none</v>
      </c>
      <c r="P28" s="63" t="s">
        <v>181</v>
      </c>
      <c r="Q28" s="10" t="s">
        <v>206</v>
      </c>
      <c r="R28" s="36" t="str">
        <f>IF(ISBLANK(S28), "none", S28)</f>
        <v>none</v>
      </c>
      <c r="S28" s="63" t="s">
        <v>181</v>
      </c>
      <c r="T28" s="10" t="s">
        <v>206</v>
      </c>
      <c r="U28" s="36" t="str">
        <f>IF(ISBLANK(V28), "none", V28)</f>
        <v>none</v>
      </c>
      <c r="V28" s="63" t="s">
        <v>181</v>
      </c>
      <c r="W28" s="10" t="s">
        <v>206</v>
      </c>
      <c r="X28" s="36" t="str">
        <f>IF(ISBLANK(Y28), "none", Y28)</f>
        <v>none</v>
      </c>
      <c r="Y28" s="63" t="s">
        <v>181</v>
      </c>
      <c r="Z28" s="10" t="s">
        <v>206</v>
      </c>
      <c r="AA28" s="36" t="str">
        <f>IF(ISBLANK(AB28), "none", AB28)</f>
        <v>none</v>
      </c>
      <c r="AB28" s="63" t="s">
        <v>181</v>
      </c>
      <c r="AC28" s="10" t="s">
        <v>206</v>
      </c>
      <c r="AD28" s="36" t="str">
        <f>IF(ISBLANK(AE28), "none", AE28)</f>
        <v>none</v>
      </c>
      <c r="AE28" s="63" t="s">
        <v>181</v>
      </c>
    </row>
    <row r="29" spans="2:31" ht="16.5" customHeight="1" x14ac:dyDescent="0.25">
      <c r="B29" s="27" t="s">
        <v>207</v>
      </c>
      <c r="C29" s="36" t="str">
        <f>IF(ISBLANK(D29), "none", D29)</f>
        <v>none</v>
      </c>
      <c r="D29" s="63" t="s">
        <v>181</v>
      </c>
      <c r="E29" s="27" t="s">
        <v>207</v>
      </c>
      <c r="F29" s="36" t="str">
        <f>IF(ISBLANK(G29), "none", G29)</f>
        <v>none</v>
      </c>
      <c r="G29" s="63" t="s">
        <v>181</v>
      </c>
      <c r="H29" s="27" t="s">
        <v>207</v>
      </c>
      <c r="I29" s="36" t="str">
        <f>IF(ISBLANK(J29), "none", J29)</f>
        <v>none</v>
      </c>
      <c r="J29" s="63" t="s">
        <v>181</v>
      </c>
      <c r="K29" s="27" t="s">
        <v>207</v>
      </c>
      <c r="L29" s="36" t="str">
        <f>IF(ISBLANK(M29), "none", M29)</f>
        <v>none</v>
      </c>
      <c r="M29" s="63" t="s">
        <v>181</v>
      </c>
      <c r="N29" s="27" t="s">
        <v>207</v>
      </c>
      <c r="O29" s="36" t="str">
        <f>IF(ISBLANK(P29), "none", P29)</f>
        <v>none</v>
      </c>
      <c r="P29" s="63" t="s">
        <v>181</v>
      </c>
      <c r="Q29" s="27" t="s">
        <v>207</v>
      </c>
      <c r="R29" s="36" t="str">
        <f>IF(ISBLANK(S29), "none", S29)</f>
        <v>none</v>
      </c>
      <c r="S29" s="63" t="s">
        <v>181</v>
      </c>
      <c r="T29" s="27" t="s">
        <v>207</v>
      </c>
      <c r="U29" s="36" t="str">
        <f>IF(ISBLANK(V29), "none", V29)</f>
        <v>none</v>
      </c>
      <c r="V29" s="63" t="s">
        <v>181</v>
      </c>
      <c r="W29" s="27" t="s">
        <v>207</v>
      </c>
      <c r="X29" s="36" t="str">
        <f>IF(ISBLANK(Y29), "none", Y29)</f>
        <v>none</v>
      </c>
      <c r="Y29" s="63" t="s">
        <v>181</v>
      </c>
      <c r="Z29" s="27" t="s">
        <v>207</v>
      </c>
      <c r="AA29" s="36" t="str">
        <f>IF(ISBLANK(AB29), "none", AB29)</f>
        <v>none</v>
      </c>
      <c r="AB29" s="63" t="s">
        <v>181</v>
      </c>
      <c r="AC29" s="27" t="s">
        <v>207</v>
      </c>
      <c r="AD29" s="36" t="str">
        <f>IF(ISBLANK(AE29), "none", AE29)</f>
        <v>none</v>
      </c>
      <c r="AE29" s="63" t="s">
        <v>181</v>
      </c>
    </row>
    <row r="30" spans="2:31" ht="16.5" customHeight="1" x14ac:dyDescent="0.25">
      <c r="B30" s="27" t="s">
        <v>208</v>
      </c>
      <c r="C30" s="25">
        <f>IF(COUNT(D30)=1,D30,6)</f>
        <v>6</v>
      </c>
      <c r="D30" s="60"/>
      <c r="E30" s="27" t="s">
        <v>208</v>
      </c>
      <c r="F30" s="25">
        <f>IF(COUNT(G30)=1,G30,6)</f>
        <v>6</v>
      </c>
      <c r="G30" s="60"/>
      <c r="H30" s="27" t="s">
        <v>208</v>
      </c>
      <c r="I30" s="25">
        <f>IF(COUNT(J30)=1,J30,6)</f>
        <v>6</v>
      </c>
      <c r="J30" s="60"/>
      <c r="K30" s="27" t="s">
        <v>208</v>
      </c>
      <c r="L30" s="25">
        <f>IF(COUNT(M30)=1,M30,6)</f>
        <v>6</v>
      </c>
      <c r="M30" s="60"/>
      <c r="N30" s="27" t="s">
        <v>208</v>
      </c>
      <c r="O30" s="25">
        <f>IF(COUNT(P30)=1,P30,6)</f>
        <v>6</v>
      </c>
      <c r="P30" s="60"/>
      <c r="Q30" s="27" t="s">
        <v>208</v>
      </c>
      <c r="R30" s="25">
        <f>IF(COUNT(S30)=1,S30,6)</f>
        <v>6</v>
      </c>
      <c r="S30" s="60"/>
      <c r="T30" s="27" t="s">
        <v>208</v>
      </c>
      <c r="U30" s="25">
        <f>IF(COUNT(V30)=1,V30,6)</f>
        <v>6</v>
      </c>
      <c r="V30" s="60"/>
      <c r="W30" s="27" t="s">
        <v>208</v>
      </c>
      <c r="X30" s="25">
        <f>IF(COUNT(Y30)=1,Y30,6)</f>
        <v>6</v>
      </c>
      <c r="Y30" s="60"/>
      <c r="Z30" s="27" t="s">
        <v>208</v>
      </c>
      <c r="AA30" s="25">
        <f>IF(COUNT(AB30)=1,AB30,6)</f>
        <v>6</v>
      </c>
      <c r="AB30" s="60"/>
      <c r="AC30" s="27" t="s">
        <v>208</v>
      </c>
      <c r="AD30" s="25">
        <f>IF(COUNT(AE30)=1,AE30,6)</f>
        <v>6</v>
      </c>
      <c r="AE30" s="60"/>
    </row>
    <row r="31" spans="2:31" x14ac:dyDescent="0.25">
      <c r="B31" s="27" t="s">
        <v>209</v>
      </c>
      <c r="C31" s="36" t="str">
        <f>IF(ISBLANK(D31), "none", D31)</f>
        <v>none</v>
      </c>
      <c r="D31" s="60" t="s">
        <v>181</v>
      </c>
      <c r="E31" s="27" t="s">
        <v>209</v>
      </c>
      <c r="F31" s="36" t="str">
        <f>IF(ISBLANK(G31), "none", G31)</f>
        <v>none</v>
      </c>
      <c r="G31" s="60" t="s">
        <v>181</v>
      </c>
      <c r="H31" s="27" t="s">
        <v>209</v>
      </c>
      <c r="I31" s="36" t="str">
        <f>IF(ISBLANK(J31), "none", J31)</f>
        <v>none</v>
      </c>
      <c r="J31" s="60" t="s">
        <v>181</v>
      </c>
      <c r="K31" s="27" t="s">
        <v>209</v>
      </c>
      <c r="L31" s="36" t="str">
        <f>IF(ISBLANK(M31), "none", M31)</f>
        <v>none</v>
      </c>
      <c r="M31" s="60" t="s">
        <v>181</v>
      </c>
      <c r="N31" s="27" t="s">
        <v>209</v>
      </c>
      <c r="O31" s="36" t="str">
        <f>IF(ISBLANK(P31), "none", P31)</f>
        <v>none</v>
      </c>
      <c r="P31" s="60" t="s">
        <v>181</v>
      </c>
      <c r="Q31" s="27" t="s">
        <v>209</v>
      </c>
      <c r="R31" s="36" t="str">
        <f>IF(ISBLANK(S31), "none", S31)</f>
        <v>none</v>
      </c>
      <c r="S31" s="60" t="s">
        <v>181</v>
      </c>
      <c r="T31" s="27" t="s">
        <v>209</v>
      </c>
      <c r="U31" s="36" t="str">
        <f>IF(ISBLANK(V31), "none", V31)</f>
        <v>none</v>
      </c>
      <c r="V31" s="60" t="s">
        <v>181</v>
      </c>
      <c r="W31" s="27" t="s">
        <v>209</v>
      </c>
      <c r="X31" s="36" t="str">
        <f>IF(ISBLANK(Y31), "none", Y31)</f>
        <v>none</v>
      </c>
      <c r="Y31" s="60" t="s">
        <v>181</v>
      </c>
      <c r="Z31" s="27" t="s">
        <v>209</v>
      </c>
      <c r="AA31" s="36" t="str">
        <f>IF(ISBLANK(AB31), "none", AB31)</f>
        <v>none</v>
      </c>
      <c r="AB31" s="60" t="s">
        <v>181</v>
      </c>
      <c r="AC31" s="27" t="s">
        <v>209</v>
      </c>
      <c r="AD31" s="36" t="str">
        <f>IF(ISBLANK(AE31), "none", AE31)</f>
        <v>none</v>
      </c>
      <c r="AE31" s="60" t="s">
        <v>181</v>
      </c>
    </row>
    <row r="32" spans="2:31" x14ac:dyDescent="0.25">
      <c r="B32" s="27" t="s">
        <v>134</v>
      </c>
      <c r="C32" s="25">
        <f>IF(COUNT(D32)=1,D32,40)</f>
        <v>40</v>
      </c>
      <c r="D32" s="60"/>
      <c r="E32" s="27" t="s">
        <v>134</v>
      </c>
      <c r="F32" s="25">
        <f>IF(COUNT(G32)=1,G32,40)</f>
        <v>40</v>
      </c>
      <c r="G32" s="60"/>
      <c r="H32" s="27" t="s">
        <v>134</v>
      </c>
      <c r="I32" s="25">
        <f>IF(COUNT(J32)=1,J32,40)</f>
        <v>40</v>
      </c>
      <c r="J32" s="60"/>
      <c r="K32" s="27" t="s">
        <v>134</v>
      </c>
      <c r="L32" s="25">
        <f>IF(COUNT(M32)=1,M32,40)</f>
        <v>40</v>
      </c>
      <c r="M32" s="60"/>
      <c r="N32" s="27" t="s">
        <v>134</v>
      </c>
      <c r="O32" s="25">
        <f>IF(COUNT(P32)=1,P32,40)</f>
        <v>40</v>
      </c>
      <c r="P32" s="60"/>
      <c r="Q32" s="27" t="s">
        <v>134</v>
      </c>
      <c r="R32" s="25">
        <f>IF(COUNT(S32)=1,S32,40)</f>
        <v>40</v>
      </c>
      <c r="S32" s="60"/>
      <c r="T32" s="27" t="s">
        <v>134</v>
      </c>
      <c r="U32" s="25">
        <f>IF(COUNT(V32)=1,V32,40)</f>
        <v>40</v>
      </c>
      <c r="V32" s="60"/>
      <c r="W32" s="27" t="s">
        <v>134</v>
      </c>
      <c r="X32" s="25">
        <f>IF(COUNT(Y32)=1,Y32,40)</f>
        <v>40</v>
      </c>
      <c r="Y32" s="60"/>
      <c r="Z32" s="27" t="s">
        <v>134</v>
      </c>
      <c r="AA32" s="25">
        <f>IF(COUNT(AB32)=1,AB32,40)</f>
        <v>40</v>
      </c>
      <c r="AB32" s="60"/>
      <c r="AC32" s="27" t="s">
        <v>134</v>
      </c>
      <c r="AD32" s="25">
        <f>IF(COUNT(AE32)=1,AE32,40)</f>
        <v>40</v>
      </c>
      <c r="AE32" s="60"/>
    </row>
    <row r="33" spans="2:31" x14ac:dyDescent="0.25">
      <c r="B33" s="27" t="s">
        <v>210</v>
      </c>
      <c r="C33" s="36" t="str">
        <f>IF(ISBLANK(D33), "none", D33)</f>
        <v>none</v>
      </c>
      <c r="D33" s="60" t="s">
        <v>181</v>
      </c>
      <c r="E33" s="27" t="s">
        <v>210</v>
      </c>
      <c r="F33" s="36" t="str">
        <f>IF(ISBLANK(G33), "none", G33)</f>
        <v>none</v>
      </c>
      <c r="G33" s="60" t="s">
        <v>181</v>
      </c>
      <c r="H33" s="27" t="s">
        <v>210</v>
      </c>
      <c r="I33" s="36" t="str">
        <f>IF(ISBLANK(J33), "none", J33)</f>
        <v>none</v>
      </c>
      <c r="J33" s="60" t="s">
        <v>181</v>
      </c>
      <c r="K33" s="27" t="s">
        <v>210</v>
      </c>
      <c r="L33" s="36" t="str">
        <f>IF(ISBLANK(M33), "none", M33)</f>
        <v>none</v>
      </c>
      <c r="M33" s="60" t="s">
        <v>181</v>
      </c>
      <c r="N33" s="27" t="s">
        <v>210</v>
      </c>
      <c r="O33" s="36" t="str">
        <f>IF(ISBLANK(P33), "none", P33)</f>
        <v>none</v>
      </c>
      <c r="P33" s="60" t="s">
        <v>181</v>
      </c>
      <c r="Q33" s="27" t="s">
        <v>210</v>
      </c>
      <c r="R33" s="36" t="str">
        <f>IF(ISBLANK(S33), "none", S33)</f>
        <v>none</v>
      </c>
      <c r="S33" s="60" t="s">
        <v>181</v>
      </c>
      <c r="T33" s="27" t="s">
        <v>210</v>
      </c>
      <c r="U33" s="36" t="str">
        <f>IF(ISBLANK(V33), "none", V33)</f>
        <v>none</v>
      </c>
      <c r="V33" s="60" t="s">
        <v>181</v>
      </c>
      <c r="W33" s="27" t="s">
        <v>210</v>
      </c>
      <c r="X33" s="36" t="str">
        <f>IF(ISBLANK(Y33), "none", Y33)</f>
        <v>none</v>
      </c>
      <c r="Y33" s="60" t="s">
        <v>181</v>
      </c>
      <c r="Z33" s="27" t="s">
        <v>210</v>
      </c>
      <c r="AA33" s="36" t="str">
        <f>IF(ISBLANK(AB33), "none", AB33)</f>
        <v>none</v>
      </c>
      <c r="AB33" s="60" t="s">
        <v>181</v>
      </c>
      <c r="AC33" s="27" t="s">
        <v>210</v>
      </c>
      <c r="AD33" s="36" t="str">
        <f>IF(ISBLANK(AE33), "none", AE33)</f>
        <v>none</v>
      </c>
      <c r="AE33" s="60" t="s">
        <v>181</v>
      </c>
    </row>
    <row r="34" spans="2:31" x14ac:dyDescent="0.25">
      <c r="B34" s="27" t="s">
        <v>135</v>
      </c>
      <c r="C34" s="25">
        <f>IF(COUNT(D34)=1,D34,64)</f>
        <v>64</v>
      </c>
      <c r="D34" s="61"/>
      <c r="E34" s="27" t="s">
        <v>135</v>
      </c>
      <c r="F34" s="25">
        <f>IF(COUNT(G34)=1,G34,64)</f>
        <v>64</v>
      </c>
      <c r="G34" s="61"/>
      <c r="H34" s="27" t="s">
        <v>135</v>
      </c>
      <c r="I34" s="25">
        <f>IF(COUNT(J34)=1,J34,64)</f>
        <v>64</v>
      </c>
      <c r="J34" s="61"/>
      <c r="K34" s="27" t="s">
        <v>135</v>
      </c>
      <c r="L34" s="25">
        <f>IF(COUNT(M34)=1,M34,64)</f>
        <v>64</v>
      </c>
      <c r="M34" s="61"/>
      <c r="N34" s="27" t="s">
        <v>135</v>
      </c>
      <c r="O34" s="25">
        <f>IF(COUNT(P34)=1,P34,64)</f>
        <v>64</v>
      </c>
      <c r="P34" s="61"/>
      <c r="Q34" s="27" t="s">
        <v>135</v>
      </c>
      <c r="R34" s="25">
        <f>IF(COUNT(S34)=1,S34,64)</f>
        <v>64</v>
      </c>
      <c r="S34" s="61"/>
      <c r="T34" s="27" t="s">
        <v>135</v>
      </c>
      <c r="U34" s="25">
        <f>IF(COUNT(V34)=1,V34,64)</f>
        <v>64</v>
      </c>
      <c r="V34" s="61"/>
      <c r="W34" s="27" t="s">
        <v>135</v>
      </c>
      <c r="X34" s="25">
        <f>IF(COUNT(Y34)=1,Y34,64)</f>
        <v>64</v>
      </c>
      <c r="Y34" s="61"/>
      <c r="Z34" s="27" t="s">
        <v>135</v>
      </c>
      <c r="AA34" s="25">
        <f>IF(COUNT(AB34)=1,AB34,64)</f>
        <v>64</v>
      </c>
      <c r="AB34" s="61"/>
      <c r="AC34" s="27" t="s">
        <v>135</v>
      </c>
      <c r="AD34" s="25">
        <f>IF(COUNT(AE34)=1,AE34,64)</f>
        <v>64</v>
      </c>
      <c r="AE34" s="61"/>
    </row>
    <row r="35" spans="2:31" x14ac:dyDescent="0.25">
      <c r="B35" s="29"/>
      <c r="C35" s="14"/>
      <c r="D35" s="15"/>
      <c r="E35" s="29"/>
      <c r="F35" s="14"/>
      <c r="G35" s="15"/>
      <c r="H35" s="29"/>
      <c r="I35" s="14"/>
      <c r="J35" s="15"/>
      <c r="K35" s="29"/>
      <c r="L35" s="14"/>
      <c r="M35" s="15"/>
      <c r="N35" s="29"/>
      <c r="O35" s="14"/>
      <c r="P35" s="15"/>
      <c r="Q35" s="29"/>
      <c r="R35" s="14"/>
      <c r="S35" s="15"/>
      <c r="T35" s="29"/>
      <c r="U35" s="14"/>
      <c r="V35" s="15"/>
      <c r="W35" s="29"/>
      <c r="X35" s="14"/>
      <c r="Y35" s="15"/>
      <c r="Z35" s="29"/>
      <c r="AA35" s="14"/>
      <c r="AB35" s="15"/>
      <c r="AC35" s="29"/>
      <c r="AD35" s="14"/>
      <c r="AE35" s="15"/>
    </row>
    <row r="36" spans="2:31" x14ac:dyDescent="0.25">
      <c r="B36" s="24" t="s">
        <v>211</v>
      </c>
      <c r="C36" s="25"/>
      <c r="D36" s="62"/>
      <c r="E36" s="24" t="s">
        <v>211</v>
      </c>
      <c r="F36" s="25"/>
      <c r="G36" s="62"/>
      <c r="H36" s="24" t="s">
        <v>211</v>
      </c>
      <c r="I36" s="25"/>
      <c r="J36" s="62"/>
      <c r="K36" s="24" t="s">
        <v>211</v>
      </c>
      <c r="L36" s="25"/>
      <c r="M36" s="62"/>
      <c r="N36" s="24" t="s">
        <v>211</v>
      </c>
      <c r="O36" s="25"/>
      <c r="P36" s="62"/>
      <c r="Q36" s="24" t="s">
        <v>211</v>
      </c>
      <c r="R36" s="25"/>
      <c r="S36" s="62"/>
      <c r="T36" s="24" t="s">
        <v>211</v>
      </c>
      <c r="U36" s="25"/>
      <c r="V36" s="62"/>
      <c r="W36" s="24" t="s">
        <v>211</v>
      </c>
      <c r="X36" s="25"/>
      <c r="Y36" s="62"/>
      <c r="Z36" s="24" t="s">
        <v>211</v>
      </c>
      <c r="AA36" s="25"/>
      <c r="AB36" s="62"/>
      <c r="AC36" s="24" t="s">
        <v>211</v>
      </c>
      <c r="AD36" s="25"/>
      <c r="AE36" s="62"/>
    </row>
    <row r="37" spans="2:31" x14ac:dyDescent="0.25">
      <c r="B37" s="10" t="s">
        <v>212</v>
      </c>
      <c r="C37" s="25" t="str">
        <f>IF(ISBLANK(D37),'in-barn'!C9,D37)</f>
        <v>cattle</v>
      </c>
      <c r="D37" s="63"/>
      <c r="E37" s="10" t="s">
        <v>212</v>
      </c>
      <c r="F37" s="25" t="str">
        <f>IF(ISBLANK(G37),"pig",G37)</f>
        <v>pig</v>
      </c>
      <c r="G37" s="63" t="s">
        <v>126</v>
      </c>
      <c r="H37" s="10" t="s">
        <v>212</v>
      </c>
      <c r="I37" s="25" t="str">
        <f>IF(ISBLANK(J37),"pig",J37)</f>
        <v>pig</v>
      </c>
      <c r="J37" s="63" t="s">
        <v>126</v>
      </c>
      <c r="K37" s="10" t="s">
        <v>212</v>
      </c>
      <c r="L37" s="25" t="str">
        <f>IF(ISBLANK(M37),"pig",M37)</f>
        <v>pig</v>
      </c>
      <c r="M37" s="63" t="s">
        <v>126</v>
      </c>
      <c r="N37" s="10" t="s">
        <v>212</v>
      </c>
      <c r="O37" s="25" t="str">
        <f>IF(ISBLANK(P37),"pig",P37)</f>
        <v>pig</v>
      </c>
      <c r="P37" s="63" t="s">
        <v>126</v>
      </c>
      <c r="Q37" s="10" t="s">
        <v>212</v>
      </c>
      <c r="R37" s="25" t="str">
        <f>IF(ISBLANK(S37),"pig",S37)</f>
        <v>pig</v>
      </c>
      <c r="S37" s="63" t="s">
        <v>126</v>
      </c>
      <c r="T37" s="10" t="s">
        <v>212</v>
      </c>
      <c r="U37" s="25" t="str">
        <f>IF(ISBLANK(V37),"pig",V37)</f>
        <v>pig</v>
      </c>
      <c r="V37" s="63" t="s">
        <v>126</v>
      </c>
      <c r="W37" s="10" t="s">
        <v>212</v>
      </c>
      <c r="X37" s="25" t="str">
        <f>IF(ISBLANK(Y37),"pig",Y37)</f>
        <v>pig</v>
      </c>
      <c r="Y37" s="63" t="s">
        <v>126</v>
      </c>
      <c r="Z37" s="10" t="s">
        <v>212</v>
      </c>
      <c r="AA37" s="25" t="str">
        <f>IF(ISBLANK(AB37),"pig",AB37)</f>
        <v>pig</v>
      </c>
      <c r="AB37" s="63" t="s">
        <v>126</v>
      </c>
      <c r="AC37" s="10" t="s">
        <v>212</v>
      </c>
      <c r="AD37" s="25" t="str">
        <f>IF(ISBLANK(AE37),"pig",AE37)</f>
        <v>pig</v>
      </c>
      <c r="AE37" s="63" t="s">
        <v>126</v>
      </c>
    </row>
    <row r="38" spans="2:31" x14ac:dyDescent="0.25">
      <c r="B38" s="10" t="s">
        <v>213</v>
      </c>
      <c r="C38" s="36" t="s">
        <v>147</v>
      </c>
      <c r="D38" s="63"/>
      <c r="E38" s="10" t="s">
        <v>213</v>
      </c>
      <c r="F38" s="36" t="s">
        <v>147</v>
      </c>
      <c r="G38" s="63"/>
      <c r="H38" s="10" t="s">
        <v>213</v>
      </c>
      <c r="I38" s="36" t="s">
        <v>147</v>
      </c>
      <c r="J38" s="63"/>
      <c r="K38" s="10" t="s">
        <v>213</v>
      </c>
      <c r="L38" s="36" t="s">
        <v>147</v>
      </c>
      <c r="M38" s="63"/>
      <c r="N38" s="10" t="s">
        <v>213</v>
      </c>
      <c r="O38" s="36" t="s">
        <v>147</v>
      </c>
      <c r="P38" s="63"/>
      <c r="Q38" s="10" t="s">
        <v>213</v>
      </c>
      <c r="R38" s="36" t="s">
        <v>147</v>
      </c>
      <c r="S38" s="63"/>
      <c r="T38" s="10" t="s">
        <v>213</v>
      </c>
      <c r="U38" s="36" t="s">
        <v>147</v>
      </c>
      <c r="V38" s="63"/>
      <c r="W38" s="10" t="s">
        <v>213</v>
      </c>
      <c r="X38" s="36" t="s">
        <v>147</v>
      </c>
      <c r="Y38" s="63"/>
      <c r="Z38" s="10" t="s">
        <v>213</v>
      </c>
      <c r="AA38" s="36" t="s">
        <v>147</v>
      </c>
      <c r="AB38" s="63"/>
      <c r="AC38" s="10" t="s">
        <v>213</v>
      </c>
      <c r="AD38" s="36" t="s">
        <v>147</v>
      </c>
      <c r="AE38" s="63"/>
    </row>
    <row r="39" spans="2:31" x14ac:dyDescent="0.25">
      <c r="B39" s="10" t="s">
        <v>214</v>
      </c>
      <c r="C39" s="25">
        <f>IF(COUNT(D39)=1,D39,HLOOKUP(C$37,defaults!$A$182:$C$194,MATCH('out-of-barn'!C38,defaults!$A$182:$A$194,0),FALSE))</f>
        <v>0</v>
      </c>
      <c r="D39" s="60"/>
      <c r="E39" s="10" t="s">
        <v>214</v>
      </c>
      <c r="F39" s="25">
        <f>IF(COUNT(G39)=1,G39,HLOOKUP(F$37,defaults!$A$182:$C$194,MATCH('out-of-barn'!F38,defaults!$A$182:$A$194,0),FALSE))</f>
        <v>0</v>
      </c>
      <c r="G39" s="60"/>
      <c r="H39" s="10" t="s">
        <v>214</v>
      </c>
      <c r="I39" s="25">
        <f>IF(COUNT(J39)=1,J39,HLOOKUP(I$37,defaults!$A$182:$C$194,MATCH('out-of-barn'!I38,defaults!$A$182:$A$194,0),FALSE))</f>
        <v>0</v>
      </c>
      <c r="J39" s="60"/>
      <c r="K39" s="10" t="s">
        <v>214</v>
      </c>
      <c r="L39" s="25">
        <f>IF(COUNT(M39)=1,M39,HLOOKUP(L$37,defaults!$A$182:$C$194,MATCH('out-of-barn'!L38,defaults!$A$182:$A$194,0),FALSE))</f>
        <v>0</v>
      </c>
      <c r="M39" s="60"/>
      <c r="N39" s="10" t="s">
        <v>214</v>
      </c>
      <c r="O39" s="25">
        <f>IF(COUNT(P39)=1,P39,HLOOKUP(O$37,defaults!$A$182:$C$194,MATCH('out-of-barn'!O38,defaults!$A$182:$A$194,0),FALSE))</f>
        <v>0</v>
      </c>
      <c r="P39" s="60"/>
      <c r="Q39" s="10" t="s">
        <v>214</v>
      </c>
      <c r="R39" s="25">
        <f>IF(COUNT(S39)=1,S39,HLOOKUP(R$37,defaults!$A$182:$C$194,MATCH('out-of-barn'!R38,defaults!$A$182:$A$194,0),FALSE))</f>
        <v>0</v>
      </c>
      <c r="S39" s="60"/>
      <c r="T39" s="10" t="s">
        <v>214</v>
      </c>
      <c r="U39" s="25">
        <f>IF(COUNT(V39)=1,V39,HLOOKUP(U$37,defaults!$A$182:$C$194,MATCH('out-of-barn'!U38,defaults!$A$182:$A$194,0),FALSE))</f>
        <v>0</v>
      </c>
      <c r="V39" s="60"/>
      <c r="W39" s="10" t="s">
        <v>214</v>
      </c>
      <c r="X39" s="25">
        <f>IF(COUNT(Y39)=1,Y39,HLOOKUP(X$37,defaults!$A$182:$C$194,MATCH('out-of-barn'!X38,defaults!$A$182:$A$194,0),FALSE))</f>
        <v>0</v>
      </c>
      <c r="Y39" s="60"/>
      <c r="Z39" s="10" t="s">
        <v>214</v>
      </c>
      <c r="AA39" s="25">
        <f>IF(COUNT(AB39)=1,AB39,HLOOKUP(AA$37,defaults!$A$182:$C$194,MATCH('out-of-barn'!AA38,defaults!$A$182:$A$194,0),FALSE))</f>
        <v>0</v>
      </c>
      <c r="AB39" s="60"/>
      <c r="AC39" s="10" t="s">
        <v>214</v>
      </c>
      <c r="AD39" s="25">
        <f>IF(COUNT(AE39)=1,AE39,HLOOKUP(AD$37,defaults!$A$182:$C$194,MATCH('out-of-barn'!AD38,defaults!$A$182:$A$194,0),FALSE))</f>
        <v>0</v>
      </c>
      <c r="AE39" s="60"/>
    </row>
    <row r="40" spans="2:31" x14ac:dyDescent="0.25">
      <c r="B40" s="10" t="s">
        <v>215</v>
      </c>
      <c r="C40" s="36" t="s">
        <v>148</v>
      </c>
      <c r="D40" s="63"/>
      <c r="E40" s="10" t="s">
        <v>215</v>
      </c>
      <c r="F40" s="36" t="s">
        <v>148</v>
      </c>
      <c r="G40" s="63"/>
      <c r="H40" s="10" t="s">
        <v>215</v>
      </c>
      <c r="I40" s="36" t="s">
        <v>148</v>
      </c>
      <c r="J40" s="63"/>
      <c r="K40" s="10" t="s">
        <v>215</v>
      </c>
      <c r="L40" s="36" t="s">
        <v>148</v>
      </c>
      <c r="M40" s="63"/>
      <c r="N40" s="10" t="s">
        <v>215</v>
      </c>
      <c r="O40" s="36" t="s">
        <v>148</v>
      </c>
      <c r="P40" s="63"/>
      <c r="Q40" s="10" t="s">
        <v>215</v>
      </c>
      <c r="R40" s="36" t="s">
        <v>148</v>
      </c>
      <c r="S40" s="63"/>
      <c r="T40" s="10" t="s">
        <v>215</v>
      </c>
      <c r="U40" s="36" t="s">
        <v>148</v>
      </c>
      <c r="V40" s="63"/>
      <c r="W40" s="10" t="s">
        <v>215</v>
      </c>
      <c r="X40" s="36" t="s">
        <v>148</v>
      </c>
      <c r="Y40" s="63"/>
      <c r="Z40" s="10" t="s">
        <v>215</v>
      </c>
      <c r="AA40" s="36" t="s">
        <v>148</v>
      </c>
      <c r="AB40" s="63"/>
      <c r="AC40" s="10" t="s">
        <v>215</v>
      </c>
      <c r="AD40" s="36" t="s">
        <v>148</v>
      </c>
      <c r="AE40" s="63"/>
    </row>
    <row r="41" spans="2:31" x14ac:dyDescent="0.25">
      <c r="B41" s="10" t="s">
        <v>216</v>
      </c>
      <c r="C41" s="25">
        <f>IF(COUNT(D41)=1,D41,HLOOKUP(C$37,defaults!$A$182:$C$194,MATCH('out-of-barn'!C40,defaults!$A$182:$A$194,0),FALSE))</f>
        <v>1</v>
      </c>
      <c r="D41" s="60"/>
      <c r="E41" s="10" t="s">
        <v>216</v>
      </c>
      <c r="F41" s="25">
        <f>IF(COUNT(G41)=1,G41,HLOOKUP(F$37,defaults!$A$182:$C$194,MATCH('out-of-barn'!F40,defaults!$A$182:$A$194,0),FALSE))</f>
        <v>2</v>
      </c>
      <c r="G41" s="60"/>
      <c r="H41" s="10" t="s">
        <v>216</v>
      </c>
      <c r="I41" s="25">
        <f>IF(COUNT(J41)=1,J41,HLOOKUP(I$37,defaults!$A$182:$C$194,MATCH('out-of-barn'!I40,defaults!$A$182:$A$194,0),FALSE))</f>
        <v>2</v>
      </c>
      <c r="J41" s="60"/>
      <c r="K41" s="10" t="s">
        <v>216</v>
      </c>
      <c r="L41" s="25">
        <f>IF(COUNT(M41)=1,M41,HLOOKUP(L$37,defaults!$A$182:$C$194,MATCH('out-of-barn'!L40,defaults!$A$182:$A$194,0),FALSE))</f>
        <v>2</v>
      </c>
      <c r="M41" s="60"/>
      <c r="N41" s="10" t="s">
        <v>216</v>
      </c>
      <c r="O41" s="25">
        <f>IF(COUNT(P41)=1,P41,HLOOKUP(O$37,defaults!$A$182:$C$194,MATCH('out-of-barn'!O40,defaults!$A$182:$A$194,0),FALSE))</f>
        <v>2</v>
      </c>
      <c r="P41" s="60"/>
      <c r="Q41" s="10" t="s">
        <v>216</v>
      </c>
      <c r="R41" s="25">
        <f>IF(COUNT(S41)=1,S41,HLOOKUP(R$37,defaults!$A$182:$C$194,MATCH('out-of-barn'!R40,defaults!$A$182:$A$194,0),FALSE))</f>
        <v>2</v>
      </c>
      <c r="S41" s="60"/>
      <c r="T41" s="10" t="s">
        <v>216</v>
      </c>
      <c r="U41" s="25">
        <f>IF(COUNT(V41)=1,V41,HLOOKUP(U$37,defaults!$A$182:$C$194,MATCH('out-of-barn'!U40,defaults!$A$182:$A$194,0),FALSE))</f>
        <v>2</v>
      </c>
      <c r="V41" s="60"/>
      <c r="W41" s="10" t="s">
        <v>216</v>
      </c>
      <c r="X41" s="25">
        <f>IF(COUNT(Y41)=1,Y41,HLOOKUP(X$37,defaults!$A$182:$C$194,MATCH('out-of-barn'!X40,defaults!$A$182:$A$194,0),FALSE))</f>
        <v>2</v>
      </c>
      <c r="Y41" s="60"/>
      <c r="Z41" s="10" t="s">
        <v>216</v>
      </c>
      <c r="AA41" s="25">
        <f>IF(COUNT(AB41)=1,AB41,HLOOKUP(AA$37,defaults!$A$182:$C$194,MATCH('out-of-barn'!AA40,defaults!$A$182:$A$194,0),FALSE))</f>
        <v>2</v>
      </c>
      <c r="AB41" s="60"/>
      <c r="AC41" s="10" t="s">
        <v>216</v>
      </c>
      <c r="AD41" s="25">
        <f>IF(COUNT(AE41)=1,AE41,HLOOKUP(AD$37,defaults!$A$182:$C$194,MATCH('out-of-barn'!AD40,defaults!$A$182:$A$194,0),FALSE))</f>
        <v>2</v>
      </c>
      <c r="AE41" s="60"/>
    </row>
    <row r="42" spans="2:31" x14ac:dyDescent="0.25">
      <c r="B42" s="10" t="s">
        <v>217</v>
      </c>
      <c r="C42" s="36" t="s">
        <v>149</v>
      </c>
      <c r="D42" s="63"/>
      <c r="E42" s="10" t="s">
        <v>217</v>
      </c>
      <c r="F42" s="36" t="s">
        <v>149</v>
      </c>
      <c r="G42" s="63"/>
      <c r="H42" s="10" t="s">
        <v>217</v>
      </c>
      <c r="I42" s="36" t="s">
        <v>149</v>
      </c>
      <c r="J42" s="63"/>
      <c r="K42" s="10" t="s">
        <v>217</v>
      </c>
      <c r="L42" s="36" t="s">
        <v>149</v>
      </c>
      <c r="M42" s="63"/>
      <c r="N42" s="10" t="s">
        <v>217</v>
      </c>
      <c r="O42" s="36" t="s">
        <v>149</v>
      </c>
      <c r="P42" s="63"/>
      <c r="Q42" s="10" t="s">
        <v>217</v>
      </c>
      <c r="R42" s="36" t="s">
        <v>149</v>
      </c>
      <c r="S42" s="63"/>
      <c r="T42" s="10" t="s">
        <v>217</v>
      </c>
      <c r="U42" s="36" t="s">
        <v>149</v>
      </c>
      <c r="V42" s="63"/>
      <c r="W42" s="10" t="s">
        <v>217</v>
      </c>
      <c r="X42" s="36" t="s">
        <v>149</v>
      </c>
      <c r="Y42" s="63"/>
      <c r="Z42" s="10" t="s">
        <v>217</v>
      </c>
      <c r="AA42" s="36" t="s">
        <v>149</v>
      </c>
      <c r="AB42" s="63"/>
      <c r="AC42" s="10" t="s">
        <v>217</v>
      </c>
      <c r="AD42" s="36" t="s">
        <v>149</v>
      </c>
      <c r="AE42" s="63"/>
    </row>
    <row r="43" spans="2:31" x14ac:dyDescent="0.25">
      <c r="B43" s="10" t="s">
        <v>218</v>
      </c>
      <c r="C43" s="25">
        <f>IF(COUNT(D43)=1,D43,HLOOKUP(C$37,defaults!$A$182:$C$194,MATCH('out-of-barn'!C42,defaults!$A$182:$A$194,0),FALSE))</f>
        <v>19</v>
      </c>
      <c r="D43" s="60"/>
      <c r="E43" s="10" t="s">
        <v>218</v>
      </c>
      <c r="F43" s="25">
        <f>IF(COUNT(G43)=1,G43,HLOOKUP(F$37,defaults!$A$182:$C$194,MATCH('out-of-barn'!F42,defaults!$A$182:$A$194,0),FALSE))</f>
        <v>21</v>
      </c>
      <c r="G43" s="60"/>
      <c r="H43" s="10" t="s">
        <v>218</v>
      </c>
      <c r="I43" s="25">
        <f>IF(COUNT(J43)=1,J43,HLOOKUP(I$37,defaults!$A$182:$C$194,MATCH('out-of-barn'!I42,defaults!$A$182:$A$194,0),FALSE))</f>
        <v>21</v>
      </c>
      <c r="J43" s="60"/>
      <c r="K43" s="10" t="s">
        <v>218</v>
      </c>
      <c r="L43" s="25">
        <f>IF(COUNT(M43)=1,M43,HLOOKUP(L$37,defaults!$A$182:$C$194,MATCH('out-of-barn'!L42,defaults!$A$182:$A$194,0),FALSE))</f>
        <v>21</v>
      </c>
      <c r="M43" s="60"/>
      <c r="N43" s="10" t="s">
        <v>218</v>
      </c>
      <c r="O43" s="25">
        <f>IF(COUNT(P43)=1,P43,HLOOKUP(O$37,defaults!$A$182:$C$194,MATCH('out-of-barn'!O42,defaults!$A$182:$A$194,0),FALSE))</f>
        <v>21</v>
      </c>
      <c r="P43" s="60"/>
      <c r="Q43" s="10" t="s">
        <v>218</v>
      </c>
      <c r="R43" s="25">
        <f>IF(COUNT(S43)=1,S43,HLOOKUP(R$37,defaults!$A$182:$C$194,MATCH('out-of-barn'!R42,defaults!$A$182:$A$194,0),FALSE))</f>
        <v>21</v>
      </c>
      <c r="S43" s="60"/>
      <c r="T43" s="10" t="s">
        <v>218</v>
      </c>
      <c r="U43" s="25">
        <f>IF(COUNT(V43)=1,V43,HLOOKUP(U$37,defaults!$A$182:$C$194,MATCH('out-of-barn'!U42,defaults!$A$182:$A$194,0),FALSE))</f>
        <v>21</v>
      </c>
      <c r="V43" s="60"/>
      <c r="W43" s="10" t="s">
        <v>218</v>
      </c>
      <c r="X43" s="25">
        <f>IF(COUNT(Y43)=1,Y43,HLOOKUP(X$37,defaults!$A$182:$C$194,MATCH('out-of-barn'!X42,defaults!$A$182:$A$194,0),FALSE))</f>
        <v>21</v>
      </c>
      <c r="Y43" s="60"/>
      <c r="Z43" s="10" t="s">
        <v>218</v>
      </c>
      <c r="AA43" s="25">
        <f>IF(COUNT(AB43)=1,AB43,HLOOKUP(AA$37,defaults!$A$182:$C$194,MATCH('out-of-barn'!AA42,defaults!$A$182:$A$194,0),FALSE))</f>
        <v>21</v>
      </c>
      <c r="AB43" s="60"/>
      <c r="AC43" s="10" t="s">
        <v>218</v>
      </c>
      <c r="AD43" s="25">
        <f>IF(COUNT(AE43)=1,AE43,HLOOKUP(AD$37,defaults!$A$182:$C$194,MATCH('out-of-barn'!AD42,defaults!$A$182:$A$194,0),FALSE))</f>
        <v>21</v>
      </c>
      <c r="AE43" s="60"/>
    </row>
    <row r="44" spans="2:31" x14ac:dyDescent="0.25">
      <c r="B44" s="10" t="s">
        <v>219</v>
      </c>
      <c r="C44" s="36" t="s">
        <v>150</v>
      </c>
      <c r="D44" s="63"/>
      <c r="E44" s="10" t="s">
        <v>219</v>
      </c>
      <c r="F44" s="36" t="s">
        <v>150</v>
      </c>
      <c r="G44" s="63"/>
      <c r="H44" s="10" t="s">
        <v>219</v>
      </c>
      <c r="I44" s="36" t="s">
        <v>150</v>
      </c>
      <c r="J44" s="63"/>
      <c r="K44" s="10" t="s">
        <v>219</v>
      </c>
      <c r="L44" s="36" t="s">
        <v>150</v>
      </c>
      <c r="M44" s="63"/>
      <c r="N44" s="10" t="s">
        <v>219</v>
      </c>
      <c r="O44" s="36" t="s">
        <v>150</v>
      </c>
      <c r="P44" s="63"/>
      <c r="Q44" s="10" t="s">
        <v>219</v>
      </c>
      <c r="R44" s="36" t="s">
        <v>150</v>
      </c>
      <c r="S44" s="63"/>
      <c r="T44" s="10" t="s">
        <v>219</v>
      </c>
      <c r="U44" s="36" t="s">
        <v>150</v>
      </c>
      <c r="V44" s="63"/>
      <c r="W44" s="10" t="s">
        <v>219</v>
      </c>
      <c r="X44" s="36" t="s">
        <v>150</v>
      </c>
      <c r="Y44" s="63"/>
      <c r="Z44" s="10" t="s">
        <v>219</v>
      </c>
      <c r="AA44" s="36" t="s">
        <v>150</v>
      </c>
      <c r="AB44" s="63"/>
      <c r="AC44" s="10" t="s">
        <v>219</v>
      </c>
      <c r="AD44" s="36" t="s">
        <v>150</v>
      </c>
      <c r="AE44" s="63"/>
    </row>
    <row r="45" spans="2:31" x14ac:dyDescent="0.25">
      <c r="B45" s="10" t="s">
        <v>220</v>
      </c>
      <c r="C45" s="25">
        <f>IF(COUNT(D45)=1,D45,HLOOKUP(C$37,defaults!$A$182:$C$194,MATCH('out-of-barn'!C44,defaults!$A$182:$A$194,0),FALSE))</f>
        <v>45</v>
      </c>
      <c r="D45" s="60"/>
      <c r="E45" s="10" t="s">
        <v>220</v>
      </c>
      <c r="F45" s="25">
        <f>IF(COUNT(G45)=1,G45,HLOOKUP(F$37,defaults!$A$182:$C$194,MATCH('out-of-barn'!F44,defaults!$A$182:$A$194,0),FALSE))</f>
        <v>58</v>
      </c>
      <c r="G45" s="60"/>
      <c r="H45" s="10" t="s">
        <v>220</v>
      </c>
      <c r="I45" s="25">
        <f>IF(COUNT(J45)=1,J45,HLOOKUP(I$37,defaults!$A$182:$C$194,MATCH('out-of-barn'!I44,defaults!$A$182:$A$194,0),FALSE))</f>
        <v>58</v>
      </c>
      <c r="J45" s="60"/>
      <c r="K45" s="10" t="s">
        <v>220</v>
      </c>
      <c r="L45" s="25">
        <f>IF(COUNT(M45)=1,M45,HLOOKUP(L$37,defaults!$A$182:$C$194,MATCH('out-of-barn'!L44,defaults!$A$182:$A$194,0),FALSE))</f>
        <v>58</v>
      </c>
      <c r="M45" s="60"/>
      <c r="N45" s="10" t="s">
        <v>220</v>
      </c>
      <c r="O45" s="25">
        <f>IF(COUNT(P45)=1,P45,HLOOKUP(O$37,defaults!$A$182:$C$194,MATCH('out-of-barn'!O44,defaults!$A$182:$A$194,0),FALSE))</f>
        <v>58</v>
      </c>
      <c r="P45" s="60"/>
      <c r="Q45" s="10" t="s">
        <v>220</v>
      </c>
      <c r="R45" s="25">
        <f>IF(COUNT(S45)=1,S45,HLOOKUP(R$37,defaults!$A$182:$C$194,MATCH('out-of-barn'!R44,defaults!$A$182:$A$194,0),FALSE))</f>
        <v>58</v>
      </c>
      <c r="S45" s="60"/>
      <c r="T45" s="10" t="s">
        <v>220</v>
      </c>
      <c r="U45" s="25">
        <f>IF(COUNT(V45)=1,V45,HLOOKUP(U$37,defaults!$A$182:$C$194,MATCH('out-of-barn'!U44,defaults!$A$182:$A$194,0),FALSE))</f>
        <v>58</v>
      </c>
      <c r="V45" s="60"/>
      <c r="W45" s="10" t="s">
        <v>220</v>
      </c>
      <c r="X45" s="25">
        <f>IF(COUNT(Y45)=1,Y45,HLOOKUP(X$37,defaults!$A$182:$C$194,MATCH('out-of-barn'!X44,defaults!$A$182:$A$194,0),FALSE))</f>
        <v>58</v>
      </c>
      <c r="Y45" s="60"/>
      <c r="Z45" s="10" t="s">
        <v>220</v>
      </c>
      <c r="AA45" s="25">
        <f>IF(COUNT(AB45)=1,AB45,HLOOKUP(AA$37,defaults!$A$182:$C$194,MATCH('out-of-barn'!AA44,defaults!$A$182:$A$194,0),FALSE))</f>
        <v>58</v>
      </c>
      <c r="AB45" s="60"/>
      <c r="AC45" s="10" t="s">
        <v>220</v>
      </c>
      <c r="AD45" s="25">
        <f>IF(COUNT(AE45)=1,AE45,HLOOKUP(AD$37,defaults!$A$182:$C$194,MATCH('out-of-barn'!AD44,defaults!$A$182:$A$194,0),FALSE))</f>
        <v>58</v>
      </c>
      <c r="AE45" s="60"/>
    </row>
    <row r="46" spans="2:31" x14ac:dyDescent="0.25">
      <c r="B46" s="10" t="s">
        <v>221</v>
      </c>
      <c r="C46" s="36" t="s">
        <v>151</v>
      </c>
      <c r="D46" s="63"/>
      <c r="E46" s="10" t="s">
        <v>221</v>
      </c>
      <c r="F46" s="36" t="s">
        <v>151</v>
      </c>
      <c r="G46" s="63"/>
      <c r="H46" s="10" t="s">
        <v>221</v>
      </c>
      <c r="I46" s="36" t="s">
        <v>151</v>
      </c>
      <c r="J46" s="63"/>
      <c r="K46" s="10" t="s">
        <v>221</v>
      </c>
      <c r="L46" s="36" t="s">
        <v>151</v>
      </c>
      <c r="M46" s="63"/>
      <c r="N46" s="10" t="s">
        <v>221</v>
      </c>
      <c r="O46" s="36" t="s">
        <v>151</v>
      </c>
      <c r="P46" s="63"/>
      <c r="Q46" s="10" t="s">
        <v>221</v>
      </c>
      <c r="R46" s="36" t="s">
        <v>151</v>
      </c>
      <c r="S46" s="63"/>
      <c r="T46" s="10" t="s">
        <v>221</v>
      </c>
      <c r="U46" s="36" t="s">
        <v>151</v>
      </c>
      <c r="V46" s="63"/>
      <c r="W46" s="10" t="s">
        <v>221</v>
      </c>
      <c r="X46" s="36" t="s">
        <v>151</v>
      </c>
      <c r="Y46" s="63"/>
      <c r="Z46" s="10" t="s">
        <v>221</v>
      </c>
      <c r="AA46" s="36" t="s">
        <v>151</v>
      </c>
      <c r="AB46" s="63"/>
      <c r="AC46" s="10" t="s">
        <v>221</v>
      </c>
      <c r="AD46" s="36" t="s">
        <v>151</v>
      </c>
      <c r="AE46" s="63"/>
    </row>
    <row r="47" spans="2:31" x14ac:dyDescent="0.25">
      <c r="B47" s="10" t="s">
        <v>222</v>
      </c>
      <c r="C47" s="25">
        <f>IF(COUNT(D47)=1,D47,HLOOKUP(C$37,defaults!$A$182:$C$194,MATCH('out-of-barn'!C46,defaults!$A$182:$A$194,0),FALSE))</f>
        <v>10</v>
      </c>
      <c r="D47" s="60"/>
      <c r="E47" s="10" t="s">
        <v>222</v>
      </c>
      <c r="F47" s="25">
        <f>IF(COUNT(G47)=1,G47,HLOOKUP(F$37,defaults!$A$182:$C$194,MATCH('out-of-barn'!F46,defaults!$A$182:$A$194,0),FALSE))</f>
        <v>10</v>
      </c>
      <c r="G47" s="60"/>
      <c r="H47" s="10" t="s">
        <v>222</v>
      </c>
      <c r="I47" s="25">
        <f>IF(COUNT(J47)=1,J47,HLOOKUP(I$37,defaults!$A$182:$C$194,MATCH('out-of-barn'!I46,defaults!$A$182:$A$194,0),FALSE))</f>
        <v>10</v>
      </c>
      <c r="J47" s="60"/>
      <c r="K47" s="10" t="s">
        <v>222</v>
      </c>
      <c r="L47" s="25">
        <f>IF(COUNT(M47)=1,M47,HLOOKUP(L$37,defaults!$A$182:$C$194,MATCH('out-of-barn'!L46,defaults!$A$182:$A$194,0),FALSE))</f>
        <v>10</v>
      </c>
      <c r="M47" s="60"/>
      <c r="N47" s="10" t="s">
        <v>222</v>
      </c>
      <c r="O47" s="25">
        <f>IF(COUNT(P47)=1,P47,HLOOKUP(O$37,defaults!$A$182:$C$194,MATCH('out-of-barn'!O46,defaults!$A$182:$A$194,0),FALSE))</f>
        <v>10</v>
      </c>
      <c r="P47" s="60"/>
      <c r="Q47" s="10" t="s">
        <v>222</v>
      </c>
      <c r="R47" s="25">
        <f>IF(COUNT(S47)=1,S47,HLOOKUP(R$37,defaults!$A$182:$C$194,MATCH('out-of-barn'!R46,defaults!$A$182:$A$194,0),FALSE))</f>
        <v>10</v>
      </c>
      <c r="S47" s="60"/>
      <c r="T47" s="10" t="s">
        <v>222</v>
      </c>
      <c r="U47" s="25">
        <f>IF(COUNT(V47)=1,V47,HLOOKUP(U$37,defaults!$A$182:$C$194,MATCH('out-of-barn'!U46,defaults!$A$182:$A$194,0),FALSE))</f>
        <v>10</v>
      </c>
      <c r="V47" s="60"/>
      <c r="W47" s="10" t="s">
        <v>222</v>
      </c>
      <c r="X47" s="25">
        <f>IF(COUNT(Y47)=1,Y47,HLOOKUP(X$37,defaults!$A$182:$C$194,MATCH('out-of-barn'!X46,defaults!$A$182:$A$194,0),FALSE))</f>
        <v>10</v>
      </c>
      <c r="Y47" s="60"/>
      <c r="Z47" s="10" t="s">
        <v>222</v>
      </c>
      <c r="AA47" s="25">
        <f>IF(COUNT(AB47)=1,AB47,HLOOKUP(AA$37,defaults!$A$182:$C$194,MATCH('out-of-barn'!AA46,defaults!$A$182:$A$194,0),FALSE))</f>
        <v>10</v>
      </c>
      <c r="AB47" s="60"/>
      <c r="AC47" s="10" t="s">
        <v>222</v>
      </c>
      <c r="AD47" s="25">
        <f>IF(COUNT(AE47)=1,AE47,HLOOKUP(AD$37,defaults!$A$182:$C$194,MATCH('out-of-barn'!AD46,defaults!$A$182:$A$194,0),FALSE))</f>
        <v>10</v>
      </c>
      <c r="AE47" s="60"/>
    </row>
    <row r="48" spans="2:31" x14ac:dyDescent="0.25">
      <c r="B48" s="10" t="s">
        <v>223</v>
      </c>
      <c r="C48" s="36" t="s">
        <v>152</v>
      </c>
      <c r="D48" s="63"/>
      <c r="E48" s="10" t="s">
        <v>223</v>
      </c>
      <c r="F48" s="36" t="s">
        <v>152</v>
      </c>
      <c r="G48" s="63"/>
      <c r="H48" s="10" t="s">
        <v>223</v>
      </c>
      <c r="I48" s="36" t="s">
        <v>152</v>
      </c>
      <c r="J48" s="63"/>
      <c r="K48" s="10" t="s">
        <v>223</v>
      </c>
      <c r="L48" s="36" t="s">
        <v>152</v>
      </c>
      <c r="M48" s="63"/>
      <c r="N48" s="10" t="s">
        <v>223</v>
      </c>
      <c r="O48" s="36" t="s">
        <v>152</v>
      </c>
      <c r="P48" s="63"/>
      <c r="Q48" s="10" t="s">
        <v>223</v>
      </c>
      <c r="R48" s="36" t="s">
        <v>152</v>
      </c>
      <c r="S48" s="63"/>
      <c r="T48" s="10" t="s">
        <v>223</v>
      </c>
      <c r="U48" s="36" t="s">
        <v>152</v>
      </c>
      <c r="V48" s="63"/>
      <c r="W48" s="10" t="s">
        <v>223</v>
      </c>
      <c r="X48" s="36" t="s">
        <v>152</v>
      </c>
      <c r="Y48" s="63"/>
      <c r="Z48" s="10" t="s">
        <v>223</v>
      </c>
      <c r="AA48" s="36" t="s">
        <v>152</v>
      </c>
      <c r="AB48" s="63"/>
      <c r="AC48" s="10" t="s">
        <v>223</v>
      </c>
      <c r="AD48" s="36" t="s">
        <v>152</v>
      </c>
      <c r="AE48" s="63"/>
    </row>
    <row r="49" spans="2:31" x14ac:dyDescent="0.25">
      <c r="B49" s="10" t="s">
        <v>224</v>
      </c>
      <c r="C49" s="25">
        <f>IF(COUNT(D49)=1,D49,HLOOKUP(C$37,defaults!$A$182:$C$194,MATCH('out-of-barn'!C48,defaults!$A$182:$A$194,0),FALSE))</f>
        <v>9</v>
      </c>
      <c r="D49" s="60"/>
      <c r="E49" s="10" t="s">
        <v>224</v>
      </c>
      <c r="F49" s="25">
        <f>IF(COUNT(G49)=1,G49,HLOOKUP(F$37,defaults!$A$182:$C$194,MATCH('out-of-barn'!F48,defaults!$A$182:$A$194,0),FALSE))</f>
        <v>1</v>
      </c>
      <c r="G49" s="60"/>
      <c r="H49" s="10" t="s">
        <v>224</v>
      </c>
      <c r="I49" s="25">
        <f>IF(COUNT(J49)=1,J49,HLOOKUP(I$37,defaults!$A$182:$C$194,MATCH('out-of-barn'!I48,defaults!$A$182:$A$194,0),FALSE))</f>
        <v>1</v>
      </c>
      <c r="J49" s="60"/>
      <c r="K49" s="10" t="s">
        <v>224</v>
      </c>
      <c r="L49" s="25">
        <f>IF(COUNT(M49)=1,M49,HLOOKUP(L$37,defaults!$A$182:$C$194,MATCH('out-of-barn'!L48,defaults!$A$182:$A$194,0),FALSE))</f>
        <v>1</v>
      </c>
      <c r="M49" s="60"/>
      <c r="N49" s="10" t="s">
        <v>224</v>
      </c>
      <c r="O49" s="25">
        <f>IF(COUNT(P49)=1,P49,HLOOKUP(O$37,defaults!$A$182:$C$194,MATCH('out-of-barn'!O48,defaults!$A$182:$A$194,0),FALSE))</f>
        <v>1</v>
      </c>
      <c r="P49" s="60"/>
      <c r="Q49" s="10" t="s">
        <v>224</v>
      </c>
      <c r="R49" s="25">
        <f>IF(COUNT(S49)=1,S49,HLOOKUP(R$37,defaults!$A$182:$C$194,MATCH('out-of-barn'!R48,defaults!$A$182:$A$194,0),FALSE))</f>
        <v>1</v>
      </c>
      <c r="S49" s="60"/>
      <c r="T49" s="10" t="s">
        <v>224</v>
      </c>
      <c r="U49" s="25">
        <f>IF(COUNT(V49)=1,V49,HLOOKUP(U$37,defaults!$A$182:$C$194,MATCH('out-of-barn'!U48,defaults!$A$182:$A$194,0),FALSE))</f>
        <v>1</v>
      </c>
      <c r="V49" s="60"/>
      <c r="W49" s="10" t="s">
        <v>224</v>
      </c>
      <c r="X49" s="25">
        <f>IF(COUNT(Y49)=1,Y49,HLOOKUP(X$37,defaults!$A$182:$C$194,MATCH('out-of-barn'!X48,defaults!$A$182:$A$194,0),FALSE))</f>
        <v>1</v>
      </c>
      <c r="Y49" s="60"/>
      <c r="Z49" s="10" t="s">
        <v>224</v>
      </c>
      <c r="AA49" s="25">
        <f>IF(COUNT(AB49)=1,AB49,HLOOKUP(AA$37,defaults!$A$182:$C$194,MATCH('out-of-barn'!AA48,defaults!$A$182:$A$194,0),FALSE))</f>
        <v>1</v>
      </c>
      <c r="AB49" s="60"/>
      <c r="AC49" s="10" t="s">
        <v>224</v>
      </c>
      <c r="AD49" s="25">
        <f>IF(COUNT(AE49)=1,AE49,HLOOKUP(AD$37,defaults!$A$182:$C$194,MATCH('out-of-barn'!AD48,defaults!$A$182:$A$194,0),FALSE))</f>
        <v>1</v>
      </c>
      <c r="AE49" s="60"/>
    </row>
    <row r="50" spans="2:31" ht="16.5" customHeight="1" x14ac:dyDescent="0.25">
      <c r="B50" s="10" t="s">
        <v>225</v>
      </c>
      <c r="C50" s="36" t="s">
        <v>153</v>
      </c>
      <c r="D50" s="63"/>
      <c r="E50" s="10" t="s">
        <v>225</v>
      </c>
      <c r="F50" s="36" t="s">
        <v>153</v>
      </c>
      <c r="G50" s="63"/>
      <c r="H50" s="10" t="s">
        <v>225</v>
      </c>
      <c r="I50" s="36" t="s">
        <v>153</v>
      </c>
      <c r="J50" s="63"/>
      <c r="K50" s="10" t="s">
        <v>225</v>
      </c>
      <c r="L50" s="36" t="s">
        <v>153</v>
      </c>
      <c r="M50" s="63"/>
      <c r="N50" s="10" t="s">
        <v>225</v>
      </c>
      <c r="O50" s="36" t="s">
        <v>153</v>
      </c>
      <c r="P50" s="63"/>
      <c r="Q50" s="10" t="s">
        <v>225</v>
      </c>
      <c r="R50" s="36" t="s">
        <v>153</v>
      </c>
      <c r="S50" s="63"/>
      <c r="T50" s="10" t="s">
        <v>225</v>
      </c>
      <c r="U50" s="36" t="s">
        <v>153</v>
      </c>
      <c r="V50" s="63"/>
      <c r="W50" s="10" t="s">
        <v>225</v>
      </c>
      <c r="X50" s="36" t="s">
        <v>153</v>
      </c>
      <c r="Y50" s="63"/>
      <c r="Z50" s="10" t="s">
        <v>225</v>
      </c>
      <c r="AA50" s="36" t="s">
        <v>153</v>
      </c>
      <c r="AB50" s="63"/>
      <c r="AC50" s="10" t="s">
        <v>225</v>
      </c>
      <c r="AD50" s="36" t="s">
        <v>153</v>
      </c>
      <c r="AE50" s="63"/>
    </row>
    <row r="51" spans="2:31" ht="16.5" customHeight="1" x14ac:dyDescent="0.25">
      <c r="B51" s="10" t="s">
        <v>226</v>
      </c>
      <c r="C51" s="25">
        <f>IF(COUNT(D51)=1,D51,HLOOKUP(C$37,defaults!$A$182:$C$194,MATCH('out-of-barn'!C50,defaults!$A$182:$A$194,0),FALSE))</f>
        <v>8</v>
      </c>
      <c r="D51" s="60"/>
      <c r="E51" s="10" t="s">
        <v>226</v>
      </c>
      <c r="F51" s="25">
        <f>IF(COUNT(G51)=1,G51,HLOOKUP(F$37,defaults!$A$182:$C$194,MATCH('out-of-barn'!F50,defaults!$A$182:$A$194,0),FALSE))</f>
        <v>1</v>
      </c>
      <c r="G51" s="60"/>
      <c r="H51" s="10" t="s">
        <v>226</v>
      </c>
      <c r="I51" s="25">
        <f>IF(COUNT(J51)=1,J51,HLOOKUP(I$37,defaults!$A$182:$C$194,MATCH('out-of-barn'!I50,defaults!$A$182:$A$194,0),FALSE))</f>
        <v>1</v>
      </c>
      <c r="J51" s="60"/>
      <c r="K51" s="10" t="s">
        <v>226</v>
      </c>
      <c r="L51" s="25">
        <f>IF(COUNT(M51)=1,M51,HLOOKUP(L$37,defaults!$A$182:$C$194,MATCH('out-of-barn'!L50,defaults!$A$182:$A$194,0),FALSE))</f>
        <v>1</v>
      </c>
      <c r="M51" s="60"/>
      <c r="N51" s="10" t="s">
        <v>226</v>
      </c>
      <c r="O51" s="25">
        <f>IF(COUNT(P51)=1,P51,HLOOKUP(O$37,defaults!$A$182:$C$194,MATCH('out-of-barn'!O50,defaults!$A$182:$A$194,0),FALSE))</f>
        <v>1</v>
      </c>
      <c r="P51" s="60"/>
      <c r="Q51" s="10" t="s">
        <v>226</v>
      </c>
      <c r="R51" s="25">
        <f>IF(COUNT(S51)=1,S51,HLOOKUP(R$37,defaults!$A$182:$C$194,MATCH('out-of-barn'!R50,defaults!$A$182:$A$194,0),FALSE))</f>
        <v>1</v>
      </c>
      <c r="S51" s="60"/>
      <c r="T51" s="10" t="s">
        <v>226</v>
      </c>
      <c r="U51" s="25">
        <f>IF(COUNT(V51)=1,V51,HLOOKUP(U$37,defaults!$A$182:$C$194,MATCH('out-of-barn'!U50,defaults!$A$182:$A$194,0),FALSE))</f>
        <v>1</v>
      </c>
      <c r="V51" s="60"/>
      <c r="W51" s="10" t="s">
        <v>226</v>
      </c>
      <c r="X51" s="25">
        <f>IF(COUNT(Y51)=1,Y51,HLOOKUP(X$37,defaults!$A$182:$C$194,MATCH('out-of-barn'!X50,defaults!$A$182:$A$194,0),FALSE))</f>
        <v>1</v>
      </c>
      <c r="Y51" s="60"/>
      <c r="Z51" s="10" t="s">
        <v>226</v>
      </c>
      <c r="AA51" s="25">
        <f>IF(COUNT(AB51)=1,AB51,HLOOKUP(AA$37,defaults!$A$182:$C$194,MATCH('out-of-barn'!AA50,defaults!$A$182:$A$194,0),FALSE))</f>
        <v>1</v>
      </c>
      <c r="AB51" s="60"/>
      <c r="AC51" s="10" t="s">
        <v>226</v>
      </c>
      <c r="AD51" s="25">
        <f>IF(COUNT(AE51)=1,AE51,HLOOKUP(AD$37,defaults!$A$182:$C$194,MATCH('out-of-barn'!AD50,defaults!$A$182:$A$194,0),FALSE))</f>
        <v>1</v>
      </c>
      <c r="AE51" s="60"/>
    </row>
    <row r="52" spans="2:31" x14ac:dyDescent="0.25">
      <c r="B52" s="10" t="s">
        <v>227</v>
      </c>
      <c r="C52" s="36" t="s">
        <v>154</v>
      </c>
      <c r="D52" s="63"/>
      <c r="E52" s="10" t="s">
        <v>227</v>
      </c>
      <c r="F52" s="36" t="s">
        <v>154</v>
      </c>
      <c r="G52" s="63"/>
      <c r="H52" s="10" t="s">
        <v>227</v>
      </c>
      <c r="I52" s="36" t="s">
        <v>154</v>
      </c>
      <c r="J52" s="63"/>
      <c r="K52" s="10" t="s">
        <v>227</v>
      </c>
      <c r="L52" s="36" t="s">
        <v>154</v>
      </c>
      <c r="M52" s="63"/>
      <c r="N52" s="10" t="s">
        <v>227</v>
      </c>
      <c r="O52" s="36" t="s">
        <v>154</v>
      </c>
      <c r="P52" s="63"/>
      <c r="Q52" s="10" t="s">
        <v>227</v>
      </c>
      <c r="R52" s="36" t="s">
        <v>154</v>
      </c>
      <c r="S52" s="63"/>
      <c r="T52" s="10" t="s">
        <v>227</v>
      </c>
      <c r="U52" s="36" t="s">
        <v>154</v>
      </c>
      <c r="V52" s="63"/>
      <c r="W52" s="10" t="s">
        <v>227</v>
      </c>
      <c r="X52" s="36" t="s">
        <v>154</v>
      </c>
      <c r="Y52" s="63"/>
      <c r="Z52" s="10" t="s">
        <v>227</v>
      </c>
      <c r="AA52" s="36" t="s">
        <v>154</v>
      </c>
      <c r="AB52" s="63"/>
      <c r="AC52" s="10" t="s">
        <v>227</v>
      </c>
      <c r="AD52" s="36" t="s">
        <v>154</v>
      </c>
      <c r="AE52" s="63"/>
    </row>
    <row r="53" spans="2:31" x14ac:dyDescent="0.25">
      <c r="B53" s="10" t="s">
        <v>228</v>
      </c>
      <c r="C53" s="25">
        <f>IF(COUNT(D53)=1,D53,HLOOKUP(C$37,defaults!$A$182:$C$194,MATCH('out-of-barn'!C52,defaults!$A$182:$A$194,0),FALSE))</f>
        <v>6</v>
      </c>
      <c r="D53" s="60"/>
      <c r="E53" s="10" t="s">
        <v>228</v>
      </c>
      <c r="F53" s="25">
        <f>IF(COUNT(G53)=1,G53,HLOOKUP(F$37,defaults!$A$182:$C$194,MATCH('out-of-barn'!F52,defaults!$A$182:$A$194,0),FALSE))</f>
        <v>3</v>
      </c>
      <c r="G53" s="60"/>
      <c r="H53" s="10" t="s">
        <v>228</v>
      </c>
      <c r="I53" s="25">
        <f>IF(COUNT(J53)=1,J53,HLOOKUP(I$37,defaults!$A$182:$C$194,MATCH('out-of-barn'!I52,defaults!$A$182:$A$194,0),FALSE))</f>
        <v>3</v>
      </c>
      <c r="J53" s="60"/>
      <c r="K53" s="10" t="s">
        <v>228</v>
      </c>
      <c r="L53" s="25">
        <f>IF(COUNT(M53)=1,M53,HLOOKUP(L$37,defaults!$A$182:$C$194,MATCH('out-of-barn'!L52,defaults!$A$182:$A$194,0),FALSE))</f>
        <v>3</v>
      </c>
      <c r="M53" s="60"/>
      <c r="N53" s="10" t="s">
        <v>228</v>
      </c>
      <c r="O53" s="25">
        <f>IF(COUNT(P53)=1,P53,HLOOKUP(O$37,defaults!$A$182:$C$194,MATCH('out-of-barn'!O52,defaults!$A$182:$A$194,0),FALSE))</f>
        <v>3</v>
      </c>
      <c r="P53" s="60"/>
      <c r="Q53" s="10" t="s">
        <v>228</v>
      </c>
      <c r="R53" s="25">
        <f>IF(COUNT(S53)=1,S53,HLOOKUP(R$37,defaults!$A$182:$C$194,MATCH('out-of-barn'!R52,defaults!$A$182:$A$194,0),FALSE))</f>
        <v>3</v>
      </c>
      <c r="S53" s="60"/>
      <c r="T53" s="10" t="s">
        <v>228</v>
      </c>
      <c r="U53" s="25">
        <f>IF(COUNT(V53)=1,V53,HLOOKUP(U$37,defaults!$A$182:$C$194,MATCH('out-of-barn'!U52,defaults!$A$182:$A$194,0),FALSE))</f>
        <v>3</v>
      </c>
      <c r="V53" s="60"/>
      <c r="W53" s="10" t="s">
        <v>228</v>
      </c>
      <c r="X53" s="25">
        <f>IF(COUNT(Y53)=1,Y53,HLOOKUP(X$37,defaults!$A$182:$C$194,MATCH('out-of-barn'!X52,defaults!$A$182:$A$194,0),FALSE))</f>
        <v>3</v>
      </c>
      <c r="Y53" s="60"/>
      <c r="Z53" s="10" t="s">
        <v>228</v>
      </c>
      <c r="AA53" s="25">
        <f>IF(COUNT(AB53)=1,AB53,HLOOKUP(AA$37,defaults!$A$182:$C$194,MATCH('out-of-barn'!AA52,defaults!$A$182:$A$194,0),FALSE))</f>
        <v>3</v>
      </c>
      <c r="AB53" s="60"/>
      <c r="AC53" s="10" t="s">
        <v>228</v>
      </c>
      <c r="AD53" s="25">
        <f>IF(COUNT(AE53)=1,AE53,HLOOKUP(AD$37,defaults!$A$182:$C$194,MATCH('out-of-barn'!AD52,defaults!$A$182:$A$194,0),FALSE))</f>
        <v>3</v>
      </c>
      <c r="AE53" s="60"/>
    </row>
    <row r="54" spans="2:31" x14ac:dyDescent="0.25">
      <c r="B54" s="10" t="s">
        <v>229</v>
      </c>
      <c r="C54" s="36" t="s">
        <v>155</v>
      </c>
      <c r="D54" s="63"/>
      <c r="E54" s="10" t="s">
        <v>229</v>
      </c>
      <c r="F54" s="36" t="s">
        <v>155</v>
      </c>
      <c r="G54" s="63"/>
      <c r="H54" s="10" t="s">
        <v>229</v>
      </c>
      <c r="I54" s="36" t="s">
        <v>155</v>
      </c>
      <c r="J54" s="63"/>
      <c r="K54" s="10" t="s">
        <v>229</v>
      </c>
      <c r="L54" s="36" t="s">
        <v>155</v>
      </c>
      <c r="M54" s="63"/>
      <c r="N54" s="10" t="s">
        <v>229</v>
      </c>
      <c r="O54" s="36" t="s">
        <v>155</v>
      </c>
      <c r="P54" s="63"/>
      <c r="Q54" s="10" t="s">
        <v>229</v>
      </c>
      <c r="R54" s="36" t="s">
        <v>155</v>
      </c>
      <c r="S54" s="63"/>
      <c r="T54" s="10" t="s">
        <v>229</v>
      </c>
      <c r="U54" s="36" t="s">
        <v>155</v>
      </c>
      <c r="V54" s="63"/>
      <c r="W54" s="10" t="s">
        <v>229</v>
      </c>
      <c r="X54" s="36" t="s">
        <v>155</v>
      </c>
      <c r="Y54" s="63"/>
      <c r="Z54" s="10" t="s">
        <v>229</v>
      </c>
      <c r="AA54" s="36" t="s">
        <v>155</v>
      </c>
      <c r="AB54" s="63"/>
      <c r="AC54" s="10" t="s">
        <v>229</v>
      </c>
      <c r="AD54" s="36" t="s">
        <v>155</v>
      </c>
      <c r="AE54" s="63"/>
    </row>
    <row r="55" spans="2:31" x14ac:dyDescent="0.25">
      <c r="B55" s="10" t="s">
        <v>230</v>
      </c>
      <c r="C55" s="25">
        <f>IF(COUNT(D55)=1,D55,HLOOKUP(C$37,defaults!$A$182:$C$194,MATCH('out-of-barn'!C54,defaults!$A$182:$A$194,0),FALSE))</f>
        <v>2</v>
      </c>
      <c r="D55" s="60"/>
      <c r="E55" s="10" t="s">
        <v>230</v>
      </c>
      <c r="F55" s="25">
        <f>IF(COUNT(G55)=1,G55,HLOOKUP(F$37,defaults!$A$182:$C$194,MATCH('out-of-barn'!F54,defaults!$A$182:$A$194,0),FALSE))</f>
        <v>3</v>
      </c>
      <c r="G55" s="60"/>
      <c r="H55" s="10" t="s">
        <v>230</v>
      </c>
      <c r="I55" s="25">
        <f>IF(COUNT(J55)=1,J55,HLOOKUP(I$37,defaults!$A$182:$C$194,MATCH('out-of-barn'!I54,defaults!$A$182:$A$194,0),FALSE))</f>
        <v>3</v>
      </c>
      <c r="J55" s="60"/>
      <c r="K55" s="10" t="s">
        <v>230</v>
      </c>
      <c r="L55" s="25">
        <f>IF(COUNT(M55)=1,M55,HLOOKUP(L$37,defaults!$A$182:$C$194,MATCH('out-of-barn'!L54,defaults!$A$182:$A$194,0),FALSE))</f>
        <v>3</v>
      </c>
      <c r="M55" s="60"/>
      <c r="N55" s="10" t="s">
        <v>230</v>
      </c>
      <c r="O55" s="25">
        <f>IF(COUNT(P55)=1,P55,HLOOKUP(O$37,defaults!$A$182:$C$194,MATCH('out-of-barn'!O54,defaults!$A$182:$A$194,0),FALSE))</f>
        <v>3</v>
      </c>
      <c r="P55" s="60"/>
      <c r="Q55" s="10" t="s">
        <v>230</v>
      </c>
      <c r="R55" s="25">
        <f>IF(COUNT(S55)=1,S55,HLOOKUP(R$37,defaults!$A$182:$C$194,MATCH('out-of-barn'!R54,defaults!$A$182:$A$194,0),FALSE))</f>
        <v>3</v>
      </c>
      <c r="S55" s="60"/>
      <c r="T55" s="10" t="s">
        <v>230</v>
      </c>
      <c r="U55" s="25">
        <f>IF(COUNT(V55)=1,V55,HLOOKUP(U$37,defaults!$A$182:$C$194,MATCH('out-of-barn'!U54,defaults!$A$182:$A$194,0),FALSE))</f>
        <v>3</v>
      </c>
      <c r="V55" s="60"/>
      <c r="W55" s="10" t="s">
        <v>230</v>
      </c>
      <c r="X55" s="25">
        <f>IF(COUNT(Y55)=1,Y55,HLOOKUP(X$37,defaults!$A$182:$C$194,MATCH('out-of-barn'!X54,defaults!$A$182:$A$194,0),FALSE))</f>
        <v>3</v>
      </c>
      <c r="Y55" s="60"/>
      <c r="Z55" s="10" t="s">
        <v>230</v>
      </c>
      <c r="AA55" s="25">
        <f>IF(COUNT(AB55)=1,AB55,HLOOKUP(AA$37,defaults!$A$182:$C$194,MATCH('out-of-barn'!AA54,defaults!$A$182:$A$194,0),FALSE))</f>
        <v>3</v>
      </c>
      <c r="AB55" s="60"/>
      <c r="AC55" s="10" t="s">
        <v>230</v>
      </c>
      <c r="AD55" s="25">
        <f>IF(COUNT(AE55)=1,AE55,HLOOKUP(AD$37,defaults!$A$182:$C$194,MATCH('out-of-barn'!AD54,defaults!$A$182:$A$194,0),FALSE))</f>
        <v>3</v>
      </c>
      <c r="AE55" s="60"/>
    </row>
    <row r="56" spans="2:31" x14ac:dyDescent="0.25">
      <c r="B56" s="10" t="s">
        <v>231</v>
      </c>
      <c r="C56" s="36" t="s">
        <v>156</v>
      </c>
      <c r="D56" s="63"/>
      <c r="E56" s="10" t="s">
        <v>231</v>
      </c>
      <c r="F56" s="36" t="s">
        <v>156</v>
      </c>
      <c r="G56" s="63"/>
      <c r="H56" s="10" t="s">
        <v>231</v>
      </c>
      <c r="I56" s="36" t="s">
        <v>156</v>
      </c>
      <c r="J56" s="63"/>
      <c r="K56" s="10" t="s">
        <v>231</v>
      </c>
      <c r="L56" s="36" t="s">
        <v>156</v>
      </c>
      <c r="M56" s="63"/>
      <c r="N56" s="10" t="s">
        <v>231</v>
      </c>
      <c r="O56" s="36" t="s">
        <v>156</v>
      </c>
      <c r="P56" s="63"/>
      <c r="Q56" s="10" t="s">
        <v>231</v>
      </c>
      <c r="R56" s="36" t="s">
        <v>156</v>
      </c>
      <c r="S56" s="63"/>
      <c r="T56" s="10" t="s">
        <v>231</v>
      </c>
      <c r="U56" s="36" t="s">
        <v>156</v>
      </c>
      <c r="V56" s="63"/>
      <c r="W56" s="10" t="s">
        <v>231</v>
      </c>
      <c r="X56" s="36" t="s">
        <v>156</v>
      </c>
      <c r="Y56" s="63"/>
      <c r="Z56" s="10" t="s">
        <v>231</v>
      </c>
      <c r="AA56" s="36" t="s">
        <v>156</v>
      </c>
      <c r="AB56" s="63"/>
      <c r="AC56" s="10" t="s">
        <v>231</v>
      </c>
      <c r="AD56" s="36" t="s">
        <v>156</v>
      </c>
      <c r="AE56" s="63"/>
    </row>
    <row r="57" spans="2:31" x14ac:dyDescent="0.25">
      <c r="B57" s="10" t="s">
        <v>232</v>
      </c>
      <c r="C57" s="25">
        <f>IF(COUNT(D57)=1,D57,HLOOKUP(C$37,defaults!$A$182:$C$194,MATCH('out-of-barn'!C56,defaults!$A$182:$A$194,0),FALSE))</f>
        <v>0</v>
      </c>
      <c r="D57" s="60"/>
      <c r="E57" s="10" t="s">
        <v>232</v>
      </c>
      <c r="F57" s="25">
        <f>IF(COUNT(G57)=1,G57,HLOOKUP(F$37,defaults!$A$182:$C$194,MATCH('out-of-barn'!F56,defaults!$A$182:$A$194,0),FALSE))</f>
        <v>1</v>
      </c>
      <c r="G57" s="60"/>
      <c r="H57" s="10" t="s">
        <v>232</v>
      </c>
      <c r="I57" s="25">
        <f>IF(COUNT(J57)=1,J57,HLOOKUP(I$37,defaults!$A$182:$C$194,MATCH('out-of-barn'!I56,defaults!$A$182:$A$194,0),FALSE))</f>
        <v>1</v>
      </c>
      <c r="J57" s="60"/>
      <c r="K57" s="10" t="s">
        <v>232</v>
      </c>
      <c r="L57" s="25">
        <f>IF(COUNT(M57)=1,M57,HLOOKUP(L$37,defaults!$A$182:$C$194,MATCH('out-of-barn'!L56,defaults!$A$182:$A$194,0),FALSE))</f>
        <v>1</v>
      </c>
      <c r="M57" s="60"/>
      <c r="N57" s="10" t="s">
        <v>232</v>
      </c>
      <c r="O57" s="25">
        <f>IF(COUNT(P57)=1,P57,HLOOKUP(O$37,defaults!$A$182:$C$194,MATCH('out-of-barn'!O56,defaults!$A$182:$A$194,0),FALSE))</f>
        <v>1</v>
      </c>
      <c r="P57" s="60"/>
      <c r="Q57" s="10" t="s">
        <v>232</v>
      </c>
      <c r="R57" s="25">
        <f>IF(COUNT(S57)=1,S57,HLOOKUP(R$37,defaults!$A$182:$C$194,MATCH('out-of-barn'!R56,defaults!$A$182:$A$194,0),FALSE))</f>
        <v>1</v>
      </c>
      <c r="S57" s="60"/>
      <c r="T57" s="10" t="s">
        <v>232</v>
      </c>
      <c r="U57" s="25">
        <f>IF(COUNT(V57)=1,V57,HLOOKUP(U$37,defaults!$A$182:$C$194,MATCH('out-of-barn'!U56,defaults!$A$182:$A$194,0),FALSE))</f>
        <v>1</v>
      </c>
      <c r="V57" s="60"/>
      <c r="W57" s="10" t="s">
        <v>232</v>
      </c>
      <c r="X57" s="25">
        <f>IF(COUNT(Y57)=1,Y57,HLOOKUP(X$37,defaults!$A$182:$C$194,MATCH('out-of-barn'!X56,defaults!$A$182:$A$194,0),FALSE))</f>
        <v>1</v>
      </c>
      <c r="Y57" s="60"/>
      <c r="Z57" s="10" t="s">
        <v>232</v>
      </c>
      <c r="AA57" s="25">
        <f>IF(COUNT(AB57)=1,AB57,HLOOKUP(AA$37,defaults!$A$182:$C$194,MATCH('out-of-barn'!AA56,defaults!$A$182:$A$194,0),FALSE))</f>
        <v>1</v>
      </c>
      <c r="AB57" s="60"/>
      <c r="AC57" s="10" t="s">
        <v>232</v>
      </c>
      <c r="AD57" s="25">
        <f>IF(COUNT(AE57)=1,AE57,HLOOKUP(AD$37,defaults!$A$182:$C$194,MATCH('out-of-barn'!AD56,defaults!$A$182:$A$194,0),FALSE))</f>
        <v>1</v>
      </c>
      <c r="AE57" s="60"/>
    </row>
    <row r="58" spans="2:31" x14ac:dyDescent="0.25">
      <c r="B58" s="10" t="s">
        <v>233</v>
      </c>
      <c r="C58" s="36" t="s">
        <v>157</v>
      </c>
      <c r="D58" s="63"/>
      <c r="E58" s="10" t="s">
        <v>233</v>
      </c>
      <c r="F58" s="36" t="s">
        <v>157</v>
      </c>
      <c r="G58" s="63"/>
      <c r="H58" s="10" t="s">
        <v>233</v>
      </c>
      <c r="I58" s="36" t="s">
        <v>157</v>
      </c>
      <c r="J58" s="63"/>
      <c r="K58" s="10" t="s">
        <v>233</v>
      </c>
      <c r="L58" s="36" t="s">
        <v>157</v>
      </c>
      <c r="M58" s="63"/>
      <c r="N58" s="10" t="s">
        <v>233</v>
      </c>
      <c r="O58" s="36" t="s">
        <v>157</v>
      </c>
      <c r="P58" s="63"/>
      <c r="Q58" s="10" t="s">
        <v>233</v>
      </c>
      <c r="R58" s="36" t="s">
        <v>157</v>
      </c>
      <c r="S58" s="63"/>
      <c r="T58" s="10" t="s">
        <v>233</v>
      </c>
      <c r="U58" s="36" t="s">
        <v>157</v>
      </c>
      <c r="V58" s="63"/>
      <c r="W58" s="10" t="s">
        <v>233</v>
      </c>
      <c r="X58" s="36" t="s">
        <v>157</v>
      </c>
      <c r="Y58" s="63"/>
      <c r="Z58" s="10" t="s">
        <v>233</v>
      </c>
      <c r="AA58" s="36" t="s">
        <v>157</v>
      </c>
      <c r="AB58" s="63"/>
      <c r="AC58" s="10" t="s">
        <v>233</v>
      </c>
      <c r="AD58" s="36" t="s">
        <v>157</v>
      </c>
      <c r="AE58" s="63"/>
    </row>
    <row r="59" spans="2:31" x14ac:dyDescent="0.25">
      <c r="B59" s="10" t="s">
        <v>234</v>
      </c>
      <c r="C59" s="25">
        <f>IF(COUNT(D59)=1,D59,HLOOKUP(C$37,defaults!$A$182:$C$194,MATCH('out-of-barn'!C58,defaults!$A$182:$A$194,0),FALSE))</f>
        <v>0</v>
      </c>
      <c r="D59" s="60"/>
      <c r="E59" s="10" t="s">
        <v>234</v>
      </c>
      <c r="F59" s="25">
        <f>IF(COUNT(G59)=1,G59,HLOOKUP(F$37,defaults!$A$182:$C$194,MATCH('out-of-barn'!F58,defaults!$A$182:$A$194,0),FALSE))</f>
        <v>0</v>
      </c>
      <c r="G59" s="60"/>
      <c r="H59" s="10" t="s">
        <v>234</v>
      </c>
      <c r="I59" s="25">
        <f>IF(COUNT(J59)=1,J59,HLOOKUP(I$37,defaults!$A$182:$C$194,MATCH('out-of-barn'!I58,defaults!$A$182:$A$194,0),FALSE))</f>
        <v>0</v>
      </c>
      <c r="J59" s="60"/>
      <c r="K59" s="10" t="s">
        <v>234</v>
      </c>
      <c r="L59" s="25">
        <f>IF(COUNT(M59)=1,M59,HLOOKUP(L$37,defaults!$A$182:$C$194,MATCH('out-of-barn'!L58,defaults!$A$182:$A$194,0),FALSE))</f>
        <v>0</v>
      </c>
      <c r="M59" s="60"/>
      <c r="N59" s="10" t="s">
        <v>234</v>
      </c>
      <c r="O59" s="25">
        <f>IF(COUNT(P59)=1,P59,HLOOKUP(O$37,defaults!$A$182:$C$194,MATCH('out-of-barn'!O58,defaults!$A$182:$A$194,0),FALSE))</f>
        <v>0</v>
      </c>
      <c r="P59" s="60"/>
      <c r="Q59" s="10" t="s">
        <v>234</v>
      </c>
      <c r="R59" s="25">
        <f>IF(COUNT(S59)=1,S59,HLOOKUP(R$37,defaults!$A$182:$C$194,MATCH('out-of-barn'!R58,defaults!$A$182:$A$194,0),FALSE))</f>
        <v>0</v>
      </c>
      <c r="S59" s="60"/>
      <c r="T59" s="10" t="s">
        <v>234</v>
      </c>
      <c r="U59" s="25">
        <f>IF(COUNT(V59)=1,V59,HLOOKUP(U$37,defaults!$A$182:$C$194,MATCH('out-of-barn'!U58,defaults!$A$182:$A$194,0),FALSE))</f>
        <v>0</v>
      </c>
      <c r="V59" s="60"/>
      <c r="W59" s="10" t="s">
        <v>234</v>
      </c>
      <c r="X59" s="25">
        <f>IF(COUNT(Y59)=1,Y59,HLOOKUP(X$37,defaults!$A$182:$C$194,MATCH('out-of-barn'!X58,defaults!$A$182:$A$194,0),FALSE))</f>
        <v>0</v>
      </c>
      <c r="Y59" s="60"/>
      <c r="Z59" s="10" t="s">
        <v>234</v>
      </c>
      <c r="AA59" s="25">
        <f>IF(COUNT(AB59)=1,AB59,HLOOKUP(AA$37,defaults!$A$182:$C$194,MATCH('out-of-barn'!AA58,defaults!$A$182:$A$194,0),FALSE))</f>
        <v>0</v>
      </c>
      <c r="AB59" s="60"/>
      <c r="AC59" s="10" t="s">
        <v>234</v>
      </c>
      <c r="AD59" s="25">
        <f>IF(COUNT(AE59)=1,AE59,HLOOKUP(AD$37,defaults!$A$182:$C$194,MATCH('out-of-barn'!AD58,defaults!$A$182:$A$194,0),FALSE))</f>
        <v>0</v>
      </c>
      <c r="AE59" s="60"/>
    </row>
    <row r="60" spans="2:31" x14ac:dyDescent="0.25">
      <c r="B60" s="10" t="s">
        <v>235</v>
      </c>
      <c r="C60" s="36" t="s">
        <v>158</v>
      </c>
      <c r="D60" s="63"/>
      <c r="E60" s="10" t="s">
        <v>235</v>
      </c>
      <c r="F60" s="36" t="s">
        <v>158</v>
      </c>
      <c r="G60" s="63"/>
      <c r="H60" s="10" t="s">
        <v>235</v>
      </c>
      <c r="I60" s="36" t="s">
        <v>158</v>
      </c>
      <c r="J60" s="63"/>
      <c r="K60" s="10" t="s">
        <v>235</v>
      </c>
      <c r="L60" s="36" t="s">
        <v>158</v>
      </c>
      <c r="M60" s="63"/>
      <c r="N60" s="10" t="s">
        <v>235</v>
      </c>
      <c r="O60" s="36" t="s">
        <v>158</v>
      </c>
      <c r="P60" s="63"/>
      <c r="Q60" s="10" t="s">
        <v>235</v>
      </c>
      <c r="R60" s="36" t="s">
        <v>158</v>
      </c>
      <c r="S60" s="63"/>
      <c r="T60" s="10" t="s">
        <v>235</v>
      </c>
      <c r="U60" s="36" t="s">
        <v>158</v>
      </c>
      <c r="V60" s="63"/>
      <c r="W60" s="10" t="s">
        <v>235</v>
      </c>
      <c r="X60" s="36" t="s">
        <v>158</v>
      </c>
      <c r="Y60" s="63"/>
      <c r="Z60" s="10" t="s">
        <v>235</v>
      </c>
      <c r="AA60" s="36" t="s">
        <v>158</v>
      </c>
      <c r="AB60" s="63"/>
      <c r="AC60" s="10" t="s">
        <v>235</v>
      </c>
      <c r="AD60" s="36" t="s">
        <v>158</v>
      </c>
      <c r="AE60" s="63"/>
    </row>
    <row r="61" spans="2:31" x14ac:dyDescent="0.25">
      <c r="B61" s="10" t="s">
        <v>236</v>
      </c>
      <c r="C61" s="25">
        <f>IF(COUNT(D61)=1,D61,HLOOKUP(C$37,defaults!$A$182:$C$194,MATCH('out-of-barn'!C60,defaults!$A$182:$A$194,0),FALSE))</f>
        <v>0</v>
      </c>
      <c r="D61" s="60"/>
      <c r="E61" s="10" t="s">
        <v>236</v>
      </c>
      <c r="F61" s="25">
        <f>IF(COUNT(G61)=1,G61,HLOOKUP(F$37,defaults!$A$182:$C$194,MATCH('out-of-barn'!F60,defaults!$A$182:$A$194,0),FALSE))</f>
        <v>0</v>
      </c>
      <c r="G61" s="60"/>
      <c r="H61" s="10" t="s">
        <v>236</v>
      </c>
      <c r="I61" s="25">
        <f>IF(COUNT(J61)=1,J61,HLOOKUP(I$37,defaults!$A$182:$C$194,MATCH('out-of-barn'!I60,defaults!$A$182:$A$194,0),FALSE))</f>
        <v>0</v>
      </c>
      <c r="J61" s="60"/>
      <c r="K61" s="10" t="s">
        <v>236</v>
      </c>
      <c r="L61" s="25">
        <f>IF(COUNT(M61)=1,M61,HLOOKUP(L$37,defaults!$A$182:$C$194,MATCH('out-of-barn'!L60,defaults!$A$182:$A$194,0),FALSE))</f>
        <v>0</v>
      </c>
      <c r="M61" s="60"/>
      <c r="N61" s="10" t="s">
        <v>236</v>
      </c>
      <c r="O61" s="25">
        <f>IF(COUNT(P61)=1,P61,HLOOKUP(O$37,defaults!$A$182:$C$194,MATCH('out-of-barn'!O60,defaults!$A$182:$A$194,0),FALSE))</f>
        <v>0</v>
      </c>
      <c r="P61" s="60"/>
      <c r="Q61" s="10" t="s">
        <v>236</v>
      </c>
      <c r="R61" s="25">
        <f>IF(COUNT(S61)=1,S61,HLOOKUP(R$37,defaults!$A$182:$C$194,MATCH('out-of-barn'!R60,defaults!$A$182:$A$194,0),FALSE))</f>
        <v>0</v>
      </c>
      <c r="S61" s="60"/>
      <c r="T61" s="10" t="s">
        <v>236</v>
      </c>
      <c r="U61" s="25">
        <f>IF(COUNT(V61)=1,V61,HLOOKUP(U$37,defaults!$A$182:$C$194,MATCH('out-of-barn'!U60,defaults!$A$182:$A$194,0),FALSE))</f>
        <v>0</v>
      </c>
      <c r="V61" s="60"/>
      <c r="W61" s="10" t="s">
        <v>236</v>
      </c>
      <c r="X61" s="25">
        <f>IF(COUNT(Y61)=1,Y61,HLOOKUP(X$37,defaults!$A$182:$C$194,MATCH('out-of-barn'!X60,defaults!$A$182:$A$194,0),FALSE))</f>
        <v>0</v>
      </c>
      <c r="Y61" s="60"/>
      <c r="Z61" s="10" t="s">
        <v>236</v>
      </c>
      <c r="AA61" s="25">
        <f>IF(COUNT(AB61)=1,AB61,HLOOKUP(AA$37,defaults!$A$182:$C$194,MATCH('out-of-barn'!AA60,defaults!$A$182:$A$194,0),FALSE))</f>
        <v>0</v>
      </c>
      <c r="AB61" s="60"/>
      <c r="AC61" s="10" t="s">
        <v>236</v>
      </c>
      <c r="AD61" s="25">
        <f>IF(COUNT(AE61)=1,AE61,HLOOKUP(AD$37,defaults!$A$182:$C$194,MATCH('out-of-barn'!AD60,defaults!$A$182:$A$194,0),FALSE))</f>
        <v>0</v>
      </c>
      <c r="AE61" s="60"/>
    </row>
    <row r="62" spans="2:31" x14ac:dyDescent="0.25">
      <c r="B62" s="10" t="s">
        <v>237</v>
      </c>
      <c r="C62" s="25">
        <f>SUM(C39,C41,C43,C45,C47,C49,C51,C53,C55,C57,C59,C61)</f>
        <v>100</v>
      </c>
      <c r="D62" s="68"/>
      <c r="E62" s="10" t="s">
        <v>237</v>
      </c>
      <c r="F62" s="25">
        <f>SUM(F39,F41,F43,F45,F47,F49,F51,F53,F55,F57,F59,F61)</f>
        <v>100</v>
      </c>
      <c r="G62" s="68"/>
      <c r="H62" s="10" t="s">
        <v>237</v>
      </c>
      <c r="I62" s="25">
        <f>SUM(I39,I41,I43,I45,I47,I49,I51,I53,I55,I57,I59,I61)</f>
        <v>100</v>
      </c>
      <c r="J62" s="68"/>
      <c r="K62" s="10" t="s">
        <v>237</v>
      </c>
      <c r="L62" s="25">
        <f>SUM(L39,L41,L43,L45,L47,L49,L51,L53,L55,L57,L59,L61)</f>
        <v>100</v>
      </c>
      <c r="M62" s="68"/>
      <c r="N62" s="10" t="s">
        <v>237</v>
      </c>
      <c r="O62" s="25">
        <f>SUM(O39,O41,O43,O45,O47,O49,O51,O53,O55,O57,O59,O61)</f>
        <v>100</v>
      </c>
      <c r="P62" s="68"/>
      <c r="Q62" s="10" t="s">
        <v>237</v>
      </c>
      <c r="R62" s="25">
        <f>SUM(R39,R41,R43,R45,R47,R49,R51,R53,R55,R57,R59,R61)</f>
        <v>100</v>
      </c>
      <c r="S62" s="68"/>
      <c r="T62" s="10" t="s">
        <v>237</v>
      </c>
      <c r="U62" s="25">
        <f>SUM(U39,U41,U43,U45,U47,U49,U51,U53,U55,U57,U59,U61)</f>
        <v>100</v>
      </c>
      <c r="V62" s="68"/>
      <c r="W62" s="10" t="s">
        <v>237</v>
      </c>
      <c r="X62" s="25">
        <f>SUM(X39,X41,X43,X45,X47,X49,X51,X53,X55,X57,X59,X61)</f>
        <v>100</v>
      </c>
      <c r="Y62" s="68"/>
      <c r="Z62" s="10" t="s">
        <v>237</v>
      </c>
      <c r="AA62" s="25">
        <f>SUM(AA39,AA41,AA43,AA45,AA47,AA49,AA51,AA53,AA55,AA57,AA59,AA61)</f>
        <v>100</v>
      </c>
      <c r="AB62" s="68"/>
      <c r="AC62" s="10" t="s">
        <v>237</v>
      </c>
      <c r="AD62" s="25">
        <f>SUM(AD39,AD41,AD43,AD45,AD47,AD49,AD51,AD53,AD55,AD57,AD59,AD61)</f>
        <v>100</v>
      </c>
      <c r="AE62" s="68"/>
    </row>
    <row r="63" spans="2:31" x14ac:dyDescent="0.25">
      <c r="C63" s="14"/>
      <c r="D63" s="15"/>
      <c r="F63" s="14"/>
      <c r="G63" s="15"/>
      <c r="I63" s="14"/>
      <c r="J63" s="15"/>
      <c r="L63" s="14"/>
      <c r="M63" s="15"/>
      <c r="O63" s="14"/>
      <c r="P63" s="15"/>
      <c r="R63" s="14"/>
      <c r="S63" s="15"/>
      <c r="U63" s="14"/>
      <c r="V63" s="15"/>
      <c r="X63" s="14"/>
      <c r="Y63" s="15"/>
      <c r="AA63" s="14"/>
      <c r="AB63" s="15"/>
      <c r="AD63" s="14"/>
      <c r="AE63" s="15"/>
    </row>
    <row r="64" spans="2:31" x14ac:dyDescent="0.25">
      <c r="B64" s="24" t="s">
        <v>238</v>
      </c>
      <c r="C64" s="25"/>
      <c r="D64" s="62"/>
      <c r="E64" s="24" t="s">
        <v>238</v>
      </c>
      <c r="F64" s="25"/>
      <c r="G64" s="62"/>
      <c r="H64" s="24" t="s">
        <v>238</v>
      </c>
      <c r="I64" s="25"/>
      <c r="J64" s="62"/>
      <c r="K64" s="24" t="s">
        <v>238</v>
      </c>
      <c r="L64" s="25"/>
      <c r="M64" s="62"/>
      <c r="N64" s="24" t="s">
        <v>238</v>
      </c>
      <c r="O64" s="25"/>
      <c r="P64" s="62"/>
      <c r="Q64" s="24" t="s">
        <v>238</v>
      </c>
      <c r="R64" s="25"/>
      <c r="S64" s="62"/>
      <c r="T64" s="24" t="s">
        <v>238</v>
      </c>
      <c r="U64" s="25"/>
      <c r="V64" s="62"/>
      <c r="W64" s="24" t="s">
        <v>238</v>
      </c>
      <c r="X64" s="25"/>
      <c r="Y64" s="62"/>
      <c r="Z64" s="24" t="s">
        <v>238</v>
      </c>
      <c r="AA64" s="25"/>
      <c r="AB64" s="62"/>
      <c r="AC64" s="24" t="s">
        <v>238</v>
      </c>
      <c r="AD64" s="25"/>
      <c r="AE64" s="62"/>
    </row>
    <row r="65" spans="2:31" x14ac:dyDescent="0.25">
      <c r="B65" s="10" t="s">
        <v>239</v>
      </c>
      <c r="C65" s="25" t="str">
        <f>IF(ISBLANK(D65),'in-barn'!C9,D65)</f>
        <v>cattle</v>
      </c>
      <c r="D65" s="63"/>
      <c r="E65" s="10" t="s">
        <v>239</v>
      </c>
      <c r="F65" s="25" t="str">
        <f>IF(ISBLANK(G65),"pig",G65)</f>
        <v>pig</v>
      </c>
      <c r="G65" s="63" t="s">
        <v>126</v>
      </c>
      <c r="H65" s="10" t="s">
        <v>239</v>
      </c>
      <c r="I65" s="25" t="str">
        <f>IF(ISBLANK(J65),"pig",J65)</f>
        <v>pig</v>
      </c>
      <c r="J65" s="63" t="s">
        <v>126</v>
      </c>
      <c r="K65" s="10" t="s">
        <v>239</v>
      </c>
      <c r="L65" s="25" t="str">
        <f>IF(ISBLANK(M65),"pig",M65)</f>
        <v>pig</v>
      </c>
      <c r="M65" s="63" t="s">
        <v>126</v>
      </c>
      <c r="N65" s="10" t="s">
        <v>239</v>
      </c>
      <c r="O65" s="25" t="str">
        <f>IF(ISBLANK(P65),"pig",P65)</f>
        <v>pig</v>
      </c>
      <c r="P65" s="63" t="s">
        <v>126</v>
      </c>
      <c r="Q65" s="10" t="s">
        <v>239</v>
      </c>
      <c r="R65" s="25" t="str">
        <f>IF(ISBLANK(S65),"pig",S65)</f>
        <v>pig</v>
      </c>
      <c r="S65" s="63" t="s">
        <v>126</v>
      </c>
      <c r="T65" s="10" t="s">
        <v>239</v>
      </c>
      <c r="U65" s="25" t="str">
        <f>IF(ISBLANK(V65),"pig",V65)</f>
        <v>pig</v>
      </c>
      <c r="V65" s="63" t="s">
        <v>126</v>
      </c>
      <c r="W65" s="10" t="s">
        <v>239</v>
      </c>
      <c r="X65" s="25" t="str">
        <f>IF(ISBLANK(Y65),"pig",Y65)</f>
        <v>pig</v>
      </c>
      <c r="Y65" s="63" t="s">
        <v>126</v>
      </c>
      <c r="Z65" s="10" t="s">
        <v>239</v>
      </c>
      <c r="AA65" s="25" t="str">
        <f>IF(ISBLANK(AB65),"pig",AB65)</f>
        <v>pig</v>
      </c>
      <c r="AB65" s="63" t="s">
        <v>126</v>
      </c>
      <c r="AC65" s="10" t="s">
        <v>239</v>
      </c>
      <c r="AD65" s="25" t="str">
        <f>IF(ISBLANK(AE65),"pig",AE65)</f>
        <v>pig</v>
      </c>
      <c r="AE65" s="63" t="s">
        <v>126</v>
      </c>
    </row>
    <row r="66" spans="2:31" x14ac:dyDescent="0.25">
      <c r="B66" s="10" t="s">
        <v>240</v>
      </c>
      <c r="C66" s="36" t="s">
        <v>147</v>
      </c>
      <c r="D66" s="63"/>
      <c r="E66" s="10" t="s">
        <v>240</v>
      </c>
      <c r="F66" s="36" t="s">
        <v>147</v>
      </c>
      <c r="G66" s="63"/>
      <c r="H66" s="10" t="s">
        <v>240</v>
      </c>
      <c r="I66" s="36" t="s">
        <v>147</v>
      </c>
      <c r="J66" s="63"/>
      <c r="K66" s="10" t="s">
        <v>240</v>
      </c>
      <c r="L66" s="36" t="s">
        <v>147</v>
      </c>
      <c r="M66" s="63"/>
      <c r="N66" s="10" t="s">
        <v>240</v>
      </c>
      <c r="O66" s="36" t="s">
        <v>147</v>
      </c>
      <c r="P66" s="63"/>
      <c r="Q66" s="10" t="s">
        <v>240</v>
      </c>
      <c r="R66" s="36" t="s">
        <v>147</v>
      </c>
      <c r="S66" s="63"/>
      <c r="T66" s="10" t="s">
        <v>240</v>
      </c>
      <c r="U66" s="36" t="s">
        <v>147</v>
      </c>
      <c r="V66" s="63"/>
      <c r="W66" s="10" t="s">
        <v>240</v>
      </c>
      <c r="X66" s="36" t="s">
        <v>147</v>
      </c>
      <c r="Y66" s="63"/>
      <c r="Z66" s="10" t="s">
        <v>240</v>
      </c>
      <c r="AA66" s="36" t="s">
        <v>147</v>
      </c>
      <c r="AB66" s="63"/>
      <c r="AC66" s="10" t="s">
        <v>240</v>
      </c>
      <c r="AD66" s="36" t="s">
        <v>147</v>
      </c>
      <c r="AE66" s="63"/>
    </row>
    <row r="67" spans="2:31" x14ac:dyDescent="0.25">
      <c r="B67" s="10" t="s">
        <v>241</v>
      </c>
      <c r="C67" s="25">
        <f>IF(COUNT(D67)=1,D67,HLOOKUP(C$65,defaults!$A$182:$C$194,MATCH('out-of-barn'!C66,defaults!$A$182:$A$194,0),FALSE))</f>
        <v>0</v>
      </c>
      <c r="D67" s="60"/>
      <c r="E67" s="10" t="s">
        <v>241</v>
      </c>
      <c r="F67" s="25">
        <f>IF(COUNT(G67)=1,G67,HLOOKUP(F$65,defaults!$A$182:$C$194,MATCH('out-of-barn'!F66,defaults!$A$182:$A$194,0),FALSE))</f>
        <v>0</v>
      </c>
      <c r="G67" s="60"/>
      <c r="H67" s="10" t="s">
        <v>241</v>
      </c>
      <c r="I67" s="25">
        <f>IF(COUNT(J67)=1,J67,HLOOKUP(I$65,defaults!$A$182:$C$194,MATCH('out-of-barn'!I66,defaults!$A$182:$A$194,0),FALSE))</f>
        <v>0</v>
      </c>
      <c r="J67" s="60"/>
      <c r="K67" s="10" t="s">
        <v>241</v>
      </c>
      <c r="L67" s="25">
        <f>IF(COUNT(M67)=1,M67,HLOOKUP(L$65,defaults!$A$182:$C$194,MATCH('out-of-barn'!L66,defaults!$A$182:$A$194,0),FALSE))</f>
        <v>0</v>
      </c>
      <c r="M67" s="60"/>
      <c r="N67" s="10" t="s">
        <v>241</v>
      </c>
      <c r="O67" s="25">
        <f>IF(COUNT(P67)=1,P67,HLOOKUP(O$65,defaults!$A$182:$C$194,MATCH('out-of-barn'!O66,defaults!$A$182:$A$194,0),FALSE))</f>
        <v>0</v>
      </c>
      <c r="P67" s="60"/>
      <c r="Q67" s="10" t="s">
        <v>241</v>
      </c>
      <c r="R67" s="25">
        <f>IF(COUNT(S67)=1,S67,HLOOKUP(R$65,defaults!$A$182:$C$194,MATCH('out-of-barn'!R66,defaults!$A$182:$A$194,0),FALSE))</f>
        <v>0</v>
      </c>
      <c r="S67" s="60"/>
      <c r="T67" s="10" t="s">
        <v>241</v>
      </c>
      <c r="U67" s="25">
        <f>IF(COUNT(V67)=1,V67,HLOOKUP(U$65,defaults!$A$182:$C$194,MATCH('out-of-barn'!U66,defaults!$A$182:$A$194,0),FALSE))</f>
        <v>0</v>
      </c>
      <c r="V67" s="60"/>
      <c r="W67" s="10" t="s">
        <v>241</v>
      </c>
      <c r="X67" s="25">
        <f>IF(COUNT(Y67)=1,Y67,HLOOKUP(X$65,defaults!$A$182:$C$194,MATCH('out-of-barn'!X66,defaults!$A$182:$A$194,0),FALSE))</f>
        <v>0</v>
      </c>
      <c r="Y67" s="60"/>
      <c r="Z67" s="10" t="s">
        <v>241</v>
      </c>
      <c r="AA67" s="25">
        <f>IF(COUNT(AB67)=1,AB67,HLOOKUP(AA$65,defaults!$A$182:$C$194,MATCH('out-of-barn'!AA66,defaults!$A$182:$A$194,0),FALSE))</f>
        <v>0</v>
      </c>
      <c r="AB67" s="60"/>
      <c r="AC67" s="10" t="s">
        <v>241</v>
      </c>
      <c r="AD67" s="25">
        <f>IF(COUNT(AE67)=1,AE67,HLOOKUP(AD$65,defaults!$A$182:$C$194,MATCH('out-of-barn'!AD66,defaults!$A$182:$A$194,0),FALSE))</f>
        <v>0</v>
      </c>
      <c r="AE67" s="60"/>
    </row>
    <row r="68" spans="2:31" x14ac:dyDescent="0.25">
      <c r="B68" s="10" t="s">
        <v>242</v>
      </c>
      <c r="C68" s="36" t="s">
        <v>148</v>
      </c>
      <c r="D68" s="63"/>
      <c r="E68" s="10" t="s">
        <v>242</v>
      </c>
      <c r="F68" s="36" t="s">
        <v>148</v>
      </c>
      <c r="G68" s="63"/>
      <c r="H68" s="10" t="s">
        <v>242</v>
      </c>
      <c r="I68" s="36" t="s">
        <v>148</v>
      </c>
      <c r="J68" s="63"/>
      <c r="K68" s="10" t="s">
        <v>242</v>
      </c>
      <c r="L68" s="36" t="s">
        <v>148</v>
      </c>
      <c r="M68" s="63"/>
      <c r="N68" s="10" t="s">
        <v>242</v>
      </c>
      <c r="O68" s="36" t="s">
        <v>148</v>
      </c>
      <c r="P68" s="63"/>
      <c r="Q68" s="10" t="s">
        <v>242</v>
      </c>
      <c r="R68" s="36" t="s">
        <v>148</v>
      </c>
      <c r="S68" s="63"/>
      <c r="T68" s="10" t="s">
        <v>242</v>
      </c>
      <c r="U68" s="36" t="s">
        <v>148</v>
      </c>
      <c r="V68" s="63"/>
      <c r="W68" s="10" t="s">
        <v>242</v>
      </c>
      <c r="X68" s="36" t="s">
        <v>148</v>
      </c>
      <c r="Y68" s="63"/>
      <c r="Z68" s="10" t="s">
        <v>242</v>
      </c>
      <c r="AA68" s="36" t="s">
        <v>148</v>
      </c>
      <c r="AB68" s="63"/>
      <c r="AC68" s="10" t="s">
        <v>242</v>
      </c>
      <c r="AD68" s="36" t="s">
        <v>148</v>
      </c>
      <c r="AE68" s="63"/>
    </row>
    <row r="69" spans="2:31" x14ac:dyDescent="0.25">
      <c r="B69" s="10" t="s">
        <v>243</v>
      </c>
      <c r="C69" s="25">
        <f>IF(COUNT(D69)=1,D69,HLOOKUP(C$65,defaults!$A$182:$C$194,MATCH('out-of-barn'!C68,defaults!$A$182:$A$194,0),FALSE))</f>
        <v>1</v>
      </c>
      <c r="D69" s="60"/>
      <c r="E69" s="10" t="s">
        <v>243</v>
      </c>
      <c r="F69" s="25">
        <f>IF(COUNT(G69)=1,G69,HLOOKUP(F$65,defaults!$A$182:$C$194,MATCH('out-of-barn'!F68,defaults!$A$182:$A$194,0),FALSE))</f>
        <v>2</v>
      </c>
      <c r="G69" s="60"/>
      <c r="H69" s="10" t="s">
        <v>243</v>
      </c>
      <c r="I69" s="25">
        <f>IF(COUNT(J69)=1,J69,HLOOKUP(I$65,defaults!$A$182:$C$194,MATCH('out-of-barn'!I68,defaults!$A$182:$A$194,0),FALSE))</f>
        <v>2</v>
      </c>
      <c r="J69" s="60"/>
      <c r="K69" s="10" t="s">
        <v>243</v>
      </c>
      <c r="L69" s="25">
        <f>IF(COUNT(M69)=1,M69,HLOOKUP(L$65,defaults!$A$182:$C$194,MATCH('out-of-barn'!L68,defaults!$A$182:$A$194,0),FALSE))</f>
        <v>2</v>
      </c>
      <c r="M69" s="60"/>
      <c r="N69" s="10" t="s">
        <v>243</v>
      </c>
      <c r="O69" s="25">
        <f>IF(COUNT(P69)=1,P69,HLOOKUP(O$65,defaults!$A$182:$C$194,MATCH('out-of-barn'!O68,defaults!$A$182:$A$194,0),FALSE))</f>
        <v>2</v>
      </c>
      <c r="P69" s="60"/>
      <c r="Q69" s="10" t="s">
        <v>243</v>
      </c>
      <c r="R69" s="25">
        <f>IF(COUNT(S69)=1,S69,HLOOKUP(R$65,defaults!$A$182:$C$194,MATCH('out-of-barn'!R68,defaults!$A$182:$A$194,0),FALSE))</f>
        <v>2</v>
      </c>
      <c r="S69" s="60"/>
      <c r="T69" s="10" t="s">
        <v>243</v>
      </c>
      <c r="U69" s="25">
        <f>IF(COUNT(V69)=1,V69,HLOOKUP(U$65,defaults!$A$182:$C$194,MATCH('out-of-barn'!U68,defaults!$A$182:$A$194,0),FALSE))</f>
        <v>2</v>
      </c>
      <c r="V69" s="60"/>
      <c r="W69" s="10" t="s">
        <v>243</v>
      </c>
      <c r="X69" s="25">
        <f>IF(COUNT(Y69)=1,Y69,HLOOKUP(X$65,defaults!$A$182:$C$194,MATCH('out-of-barn'!X68,defaults!$A$182:$A$194,0),FALSE))</f>
        <v>2</v>
      </c>
      <c r="Y69" s="60"/>
      <c r="Z69" s="10" t="s">
        <v>243</v>
      </c>
      <c r="AA69" s="25">
        <f>IF(COUNT(AB69)=1,AB69,HLOOKUP(AA$65,defaults!$A$182:$C$194,MATCH('out-of-barn'!AA68,defaults!$A$182:$A$194,0),FALSE))</f>
        <v>2</v>
      </c>
      <c r="AB69" s="60"/>
      <c r="AC69" s="10" t="s">
        <v>243</v>
      </c>
      <c r="AD69" s="25">
        <f>IF(COUNT(AE69)=1,AE69,HLOOKUP(AD$65,defaults!$A$182:$C$194,MATCH('out-of-barn'!AD68,defaults!$A$182:$A$194,0),FALSE))</f>
        <v>2</v>
      </c>
      <c r="AE69" s="60"/>
    </row>
    <row r="70" spans="2:31" x14ac:dyDescent="0.25">
      <c r="B70" s="10" t="s">
        <v>244</v>
      </c>
      <c r="C70" s="36" t="s">
        <v>149</v>
      </c>
      <c r="D70" s="63"/>
      <c r="E70" s="10" t="s">
        <v>244</v>
      </c>
      <c r="F70" s="36" t="s">
        <v>149</v>
      </c>
      <c r="G70" s="63"/>
      <c r="H70" s="10" t="s">
        <v>244</v>
      </c>
      <c r="I70" s="36" t="s">
        <v>149</v>
      </c>
      <c r="J70" s="63"/>
      <c r="K70" s="10" t="s">
        <v>244</v>
      </c>
      <c r="L70" s="36" t="s">
        <v>149</v>
      </c>
      <c r="M70" s="63"/>
      <c r="N70" s="10" t="s">
        <v>244</v>
      </c>
      <c r="O70" s="36" t="s">
        <v>149</v>
      </c>
      <c r="P70" s="63"/>
      <c r="Q70" s="10" t="s">
        <v>244</v>
      </c>
      <c r="R70" s="36" t="s">
        <v>149</v>
      </c>
      <c r="S70" s="63"/>
      <c r="T70" s="10" t="s">
        <v>244</v>
      </c>
      <c r="U70" s="36" t="s">
        <v>149</v>
      </c>
      <c r="V70" s="63"/>
      <c r="W70" s="10" t="s">
        <v>244</v>
      </c>
      <c r="X70" s="36" t="s">
        <v>149</v>
      </c>
      <c r="Y70" s="63"/>
      <c r="Z70" s="10" t="s">
        <v>244</v>
      </c>
      <c r="AA70" s="36" t="s">
        <v>149</v>
      </c>
      <c r="AB70" s="63"/>
      <c r="AC70" s="10" t="s">
        <v>244</v>
      </c>
      <c r="AD70" s="36" t="s">
        <v>149</v>
      </c>
      <c r="AE70" s="63"/>
    </row>
    <row r="71" spans="2:31" x14ac:dyDescent="0.25">
      <c r="B71" s="10" t="s">
        <v>245</v>
      </c>
      <c r="C71" s="25">
        <f>IF(COUNT(D71)=1,D71,HLOOKUP(C$65,defaults!$A$182:$C$194,MATCH('out-of-barn'!C70,defaults!$A$182:$A$194,0),FALSE))</f>
        <v>19</v>
      </c>
      <c r="D71" s="60"/>
      <c r="E71" s="10" t="s">
        <v>245</v>
      </c>
      <c r="F71" s="25">
        <f>IF(COUNT(G71)=1,G71,HLOOKUP(F$65,defaults!$A$182:$C$194,MATCH('out-of-barn'!F70,defaults!$A$182:$A$194,0),FALSE))</f>
        <v>21</v>
      </c>
      <c r="G71" s="60"/>
      <c r="H71" s="10" t="s">
        <v>245</v>
      </c>
      <c r="I71" s="25">
        <f>IF(COUNT(J71)=1,J71,HLOOKUP(I$65,defaults!$A$182:$C$194,MATCH('out-of-barn'!I70,defaults!$A$182:$A$194,0),FALSE))</f>
        <v>21</v>
      </c>
      <c r="J71" s="60"/>
      <c r="K71" s="10" t="s">
        <v>245</v>
      </c>
      <c r="L71" s="25">
        <f>IF(COUNT(M71)=1,M71,HLOOKUP(L$65,defaults!$A$182:$C$194,MATCH('out-of-barn'!L70,defaults!$A$182:$A$194,0),FALSE))</f>
        <v>21</v>
      </c>
      <c r="M71" s="60"/>
      <c r="N71" s="10" t="s">
        <v>245</v>
      </c>
      <c r="O71" s="25">
        <f>IF(COUNT(P71)=1,P71,HLOOKUP(O$65,defaults!$A$182:$C$194,MATCH('out-of-barn'!O70,defaults!$A$182:$A$194,0),FALSE))</f>
        <v>21</v>
      </c>
      <c r="P71" s="60"/>
      <c r="Q71" s="10" t="s">
        <v>245</v>
      </c>
      <c r="R71" s="25">
        <f>IF(COUNT(S71)=1,S71,HLOOKUP(R$65,defaults!$A$182:$C$194,MATCH('out-of-barn'!R70,defaults!$A$182:$A$194,0),FALSE))</f>
        <v>21</v>
      </c>
      <c r="S71" s="60"/>
      <c r="T71" s="10" t="s">
        <v>245</v>
      </c>
      <c r="U71" s="25">
        <f>IF(COUNT(V71)=1,V71,HLOOKUP(U$65,defaults!$A$182:$C$194,MATCH('out-of-barn'!U70,defaults!$A$182:$A$194,0),FALSE))</f>
        <v>21</v>
      </c>
      <c r="V71" s="60"/>
      <c r="W71" s="10" t="s">
        <v>245</v>
      </c>
      <c r="X71" s="25">
        <f>IF(COUNT(Y71)=1,Y71,HLOOKUP(X$65,defaults!$A$182:$C$194,MATCH('out-of-barn'!X70,defaults!$A$182:$A$194,0),FALSE))</f>
        <v>21</v>
      </c>
      <c r="Y71" s="60"/>
      <c r="Z71" s="10" t="s">
        <v>245</v>
      </c>
      <c r="AA71" s="25">
        <f>IF(COUNT(AB71)=1,AB71,HLOOKUP(AA$65,defaults!$A$182:$C$194,MATCH('out-of-barn'!AA70,defaults!$A$182:$A$194,0),FALSE))</f>
        <v>21</v>
      </c>
      <c r="AB71" s="60"/>
      <c r="AC71" s="10" t="s">
        <v>245</v>
      </c>
      <c r="AD71" s="25">
        <f>IF(COUNT(AE71)=1,AE71,HLOOKUP(AD$65,defaults!$A$182:$C$194,MATCH('out-of-barn'!AD70,defaults!$A$182:$A$194,0),FALSE))</f>
        <v>21</v>
      </c>
      <c r="AE71" s="60"/>
    </row>
    <row r="72" spans="2:31" x14ac:dyDescent="0.25">
      <c r="B72" s="10" t="s">
        <v>246</v>
      </c>
      <c r="C72" s="36" t="s">
        <v>150</v>
      </c>
      <c r="D72" s="63"/>
      <c r="E72" s="10" t="s">
        <v>246</v>
      </c>
      <c r="F72" s="36" t="s">
        <v>150</v>
      </c>
      <c r="G72" s="63"/>
      <c r="H72" s="10" t="s">
        <v>246</v>
      </c>
      <c r="I72" s="36" t="s">
        <v>150</v>
      </c>
      <c r="J72" s="63"/>
      <c r="K72" s="10" t="s">
        <v>246</v>
      </c>
      <c r="L72" s="36" t="s">
        <v>150</v>
      </c>
      <c r="M72" s="63"/>
      <c r="N72" s="10" t="s">
        <v>246</v>
      </c>
      <c r="O72" s="36" t="s">
        <v>150</v>
      </c>
      <c r="P72" s="63"/>
      <c r="Q72" s="10" t="s">
        <v>246</v>
      </c>
      <c r="R72" s="36" t="s">
        <v>150</v>
      </c>
      <c r="S72" s="63"/>
      <c r="T72" s="10" t="s">
        <v>246</v>
      </c>
      <c r="U72" s="36" t="s">
        <v>150</v>
      </c>
      <c r="V72" s="63"/>
      <c r="W72" s="10" t="s">
        <v>246</v>
      </c>
      <c r="X72" s="36" t="s">
        <v>150</v>
      </c>
      <c r="Y72" s="63"/>
      <c r="Z72" s="10" t="s">
        <v>246</v>
      </c>
      <c r="AA72" s="36" t="s">
        <v>150</v>
      </c>
      <c r="AB72" s="63"/>
      <c r="AC72" s="10" t="s">
        <v>246</v>
      </c>
      <c r="AD72" s="36" t="s">
        <v>150</v>
      </c>
      <c r="AE72" s="63"/>
    </row>
    <row r="73" spans="2:31" x14ac:dyDescent="0.25">
      <c r="B73" s="10" t="s">
        <v>247</v>
      </c>
      <c r="C73" s="25">
        <f>IF(COUNT(D73)=1,D73,HLOOKUP(C$65,defaults!$A$182:$C$194,MATCH('out-of-barn'!C72,defaults!$A$182:$A$194,0),FALSE))</f>
        <v>45</v>
      </c>
      <c r="D73" s="60"/>
      <c r="E73" s="10" t="s">
        <v>247</v>
      </c>
      <c r="F73" s="25">
        <f>IF(COUNT(G73)=1,G73,HLOOKUP(F$65,defaults!$A$182:$C$194,MATCH('out-of-barn'!F72,defaults!$A$182:$A$194,0),FALSE))</f>
        <v>58</v>
      </c>
      <c r="G73" s="60"/>
      <c r="H73" s="10" t="s">
        <v>247</v>
      </c>
      <c r="I73" s="25">
        <f>IF(COUNT(J73)=1,J73,HLOOKUP(I$65,defaults!$A$182:$C$194,MATCH('out-of-barn'!I72,defaults!$A$182:$A$194,0),FALSE))</f>
        <v>58</v>
      </c>
      <c r="J73" s="60"/>
      <c r="K73" s="10" t="s">
        <v>247</v>
      </c>
      <c r="L73" s="25">
        <f>IF(COUNT(M73)=1,M73,HLOOKUP(L$65,defaults!$A$182:$C$194,MATCH('out-of-barn'!L72,defaults!$A$182:$A$194,0),FALSE))</f>
        <v>58</v>
      </c>
      <c r="M73" s="60"/>
      <c r="N73" s="10" t="s">
        <v>247</v>
      </c>
      <c r="O73" s="25">
        <f>IF(COUNT(P73)=1,P73,HLOOKUP(O$65,defaults!$A$182:$C$194,MATCH('out-of-barn'!O72,defaults!$A$182:$A$194,0),FALSE))</f>
        <v>58</v>
      </c>
      <c r="P73" s="60"/>
      <c r="Q73" s="10" t="s">
        <v>247</v>
      </c>
      <c r="R73" s="25">
        <f>IF(COUNT(S73)=1,S73,HLOOKUP(R$65,defaults!$A$182:$C$194,MATCH('out-of-barn'!R72,defaults!$A$182:$A$194,0),FALSE))</f>
        <v>58</v>
      </c>
      <c r="S73" s="60"/>
      <c r="T73" s="10" t="s">
        <v>247</v>
      </c>
      <c r="U73" s="25">
        <f>IF(COUNT(V73)=1,V73,HLOOKUP(U$65,defaults!$A$182:$C$194,MATCH('out-of-barn'!U72,defaults!$A$182:$A$194,0),FALSE))</f>
        <v>58</v>
      </c>
      <c r="V73" s="60"/>
      <c r="W73" s="10" t="s">
        <v>247</v>
      </c>
      <c r="X73" s="25">
        <f>IF(COUNT(Y73)=1,Y73,HLOOKUP(X$65,defaults!$A$182:$C$194,MATCH('out-of-barn'!X72,defaults!$A$182:$A$194,0),FALSE))</f>
        <v>58</v>
      </c>
      <c r="Y73" s="60"/>
      <c r="Z73" s="10" t="s">
        <v>247</v>
      </c>
      <c r="AA73" s="25">
        <f>IF(COUNT(AB73)=1,AB73,HLOOKUP(AA$65,defaults!$A$182:$C$194,MATCH('out-of-barn'!AA72,defaults!$A$182:$A$194,0),FALSE))</f>
        <v>58</v>
      </c>
      <c r="AB73" s="60"/>
      <c r="AC73" s="10" t="s">
        <v>247</v>
      </c>
      <c r="AD73" s="25">
        <f>IF(COUNT(AE73)=1,AE73,HLOOKUP(AD$65,defaults!$A$182:$C$194,MATCH('out-of-barn'!AD72,defaults!$A$182:$A$194,0),FALSE))</f>
        <v>58</v>
      </c>
      <c r="AE73" s="60"/>
    </row>
    <row r="74" spans="2:31" x14ac:dyDescent="0.25">
      <c r="B74" s="10" t="s">
        <v>248</v>
      </c>
      <c r="C74" s="36" t="s">
        <v>151</v>
      </c>
      <c r="D74" s="63"/>
      <c r="E74" s="10" t="s">
        <v>248</v>
      </c>
      <c r="F74" s="36" t="s">
        <v>151</v>
      </c>
      <c r="G74" s="63"/>
      <c r="H74" s="10" t="s">
        <v>248</v>
      </c>
      <c r="I74" s="36" t="s">
        <v>151</v>
      </c>
      <c r="J74" s="63"/>
      <c r="K74" s="10" t="s">
        <v>248</v>
      </c>
      <c r="L74" s="36" t="s">
        <v>151</v>
      </c>
      <c r="M74" s="63"/>
      <c r="N74" s="10" t="s">
        <v>248</v>
      </c>
      <c r="O74" s="36" t="s">
        <v>151</v>
      </c>
      <c r="P74" s="63"/>
      <c r="Q74" s="10" t="s">
        <v>248</v>
      </c>
      <c r="R74" s="36" t="s">
        <v>151</v>
      </c>
      <c r="S74" s="63"/>
      <c r="T74" s="10" t="s">
        <v>248</v>
      </c>
      <c r="U74" s="36" t="s">
        <v>151</v>
      </c>
      <c r="V74" s="63"/>
      <c r="W74" s="10" t="s">
        <v>248</v>
      </c>
      <c r="X74" s="36" t="s">
        <v>151</v>
      </c>
      <c r="Y74" s="63"/>
      <c r="Z74" s="10" t="s">
        <v>248</v>
      </c>
      <c r="AA74" s="36" t="s">
        <v>151</v>
      </c>
      <c r="AB74" s="63"/>
      <c r="AC74" s="10" t="s">
        <v>248</v>
      </c>
      <c r="AD74" s="36" t="s">
        <v>151</v>
      </c>
      <c r="AE74" s="63"/>
    </row>
    <row r="75" spans="2:31" x14ac:dyDescent="0.25">
      <c r="B75" s="10" t="s">
        <v>249</v>
      </c>
      <c r="C75" s="25">
        <f>IF(COUNT(D75)=1,D75,HLOOKUP(C$65,defaults!$A$182:$C$194,MATCH('out-of-barn'!C74,defaults!$A$182:$A$194,0),FALSE))</f>
        <v>10</v>
      </c>
      <c r="D75" s="60"/>
      <c r="E75" s="10" t="s">
        <v>249</v>
      </c>
      <c r="F75" s="25">
        <f>IF(COUNT(G75)=1,G75,HLOOKUP(F$65,defaults!$A$182:$C$194,MATCH('out-of-barn'!F74,defaults!$A$182:$A$194,0),FALSE))</f>
        <v>10</v>
      </c>
      <c r="G75" s="60"/>
      <c r="H75" s="10" t="s">
        <v>249</v>
      </c>
      <c r="I75" s="25">
        <f>IF(COUNT(J75)=1,J75,HLOOKUP(I$65,defaults!$A$182:$C$194,MATCH('out-of-barn'!I74,defaults!$A$182:$A$194,0),FALSE))</f>
        <v>10</v>
      </c>
      <c r="J75" s="60"/>
      <c r="K75" s="10" t="s">
        <v>249</v>
      </c>
      <c r="L75" s="25">
        <f>IF(COUNT(M75)=1,M75,HLOOKUP(L$65,defaults!$A$182:$C$194,MATCH('out-of-barn'!L74,defaults!$A$182:$A$194,0),FALSE))</f>
        <v>10</v>
      </c>
      <c r="M75" s="60"/>
      <c r="N75" s="10" t="s">
        <v>249</v>
      </c>
      <c r="O75" s="25">
        <f>IF(COUNT(P75)=1,P75,HLOOKUP(O$65,defaults!$A$182:$C$194,MATCH('out-of-barn'!O74,defaults!$A$182:$A$194,0),FALSE))</f>
        <v>10</v>
      </c>
      <c r="P75" s="60"/>
      <c r="Q75" s="10" t="s">
        <v>249</v>
      </c>
      <c r="R75" s="25">
        <f>IF(COUNT(S75)=1,S75,HLOOKUP(R$65,defaults!$A$182:$C$194,MATCH('out-of-barn'!R74,defaults!$A$182:$A$194,0),FALSE))</f>
        <v>10</v>
      </c>
      <c r="S75" s="60"/>
      <c r="T75" s="10" t="s">
        <v>249</v>
      </c>
      <c r="U75" s="25">
        <f>IF(COUNT(V75)=1,V75,HLOOKUP(U$65,defaults!$A$182:$C$194,MATCH('out-of-barn'!U74,defaults!$A$182:$A$194,0),FALSE))</f>
        <v>10</v>
      </c>
      <c r="V75" s="60"/>
      <c r="W75" s="10" t="s">
        <v>249</v>
      </c>
      <c r="X75" s="25">
        <f>IF(COUNT(Y75)=1,Y75,HLOOKUP(X$65,defaults!$A$182:$C$194,MATCH('out-of-barn'!X74,defaults!$A$182:$A$194,0),FALSE))</f>
        <v>10</v>
      </c>
      <c r="Y75" s="60"/>
      <c r="Z75" s="10" t="s">
        <v>249</v>
      </c>
      <c r="AA75" s="25">
        <f>IF(COUNT(AB75)=1,AB75,HLOOKUP(AA$65,defaults!$A$182:$C$194,MATCH('out-of-barn'!AA74,defaults!$A$182:$A$194,0),FALSE))</f>
        <v>10</v>
      </c>
      <c r="AB75" s="60"/>
      <c r="AC75" s="10" t="s">
        <v>249</v>
      </c>
      <c r="AD75" s="25">
        <f>IF(COUNT(AE75)=1,AE75,HLOOKUP(AD$65,defaults!$A$182:$C$194,MATCH('out-of-barn'!AD74,defaults!$A$182:$A$194,0),FALSE))</f>
        <v>10</v>
      </c>
      <c r="AE75" s="60"/>
    </row>
    <row r="76" spans="2:31" x14ac:dyDescent="0.25">
      <c r="B76" s="10" t="s">
        <v>250</v>
      </c>
      <c r="C76" s="36" t="s">
        <v>152</v>
      </c>
      <c r="D76" s="63"/>
      <c r="E76" s="10" t="s">
        <v>250</v>
      </c>
      <c r="F76" s="36" t="s">
        <v>152</v>
      </c>
      <c r="G76" s="63"/>
      <c r="H76" s="10" t="s">
        <v>250</v>
      </c>
      <c r="I76" s="36" t="s">
        <v>152</v>
      </c>
      <c r="J76" s="63"/>
      <c r="K76" s="10" t="s">
        <v>250</v>
      </c>
      <c r="L76" s="36" t="s">
        <v>152</v>
      </c>
      <c r="M76" s="63"/>
      <c r="N76" s="10" t="s">
        <v>250</v>
      </c>
      <c r="O76" s="36" t="s">
        <v>152</v>
      </c>
      <c r="P76" s="63"/>
      <c r="Q76" s="10" t="s">
        <v>250</v>
      </c>
      <c r="R76" s="36" t="s">
        <v>152</v>
      </c>
      <c r="S76" s="63"/>
      <c r="T76" s="10" t="s">
        <v>250</v>
      </c>
      <c r="U76" s="36" t="s">
        <v>152</v>
      </c>
      <c r="V76" s="63"/>
      <c r="W76" s="10" t="s">
        <v>250</v>
      </c>
      <c r="X76" s="36" t="s">
        <v>152</v>
      </c>
      <c r="Y76" s="63"/>
      <c r="Z76" s="10" t="s">
        <v>250</v>
      </c>
      <c r="AA76" s="36" t="s">
        <v>152</v>
      </c>
      <c r="AB76" s="63"/>
      <c r="AC76" s="10" t="s">
        <v>250</v>
      </c>
      <c r="AD76" s="36" t="s">
        <v>152</v>
      </c>
      <c r="AE76" s="63"/>
    </row>
    <row r="77" spans="2:31" x14ac:dyDescent="0.25">
      <c r="B77" s="10" t="s">
        <v>251</v>
      </c>
      <c r="C77" s="25">
        <f>IF(COUNT(D77)=1,D77,HLOOKUP(C$65,defaults!$A$182:$C$194,MATCH('out-of-barn'!C76,defaults!$A$182:$A$194,0),FALSE))</f>
        <v>9</v>
      </c>
      <c r="D77" s="60"/>
      <c r="E77" s="10" t="s">
        <v>251</v>
      </c>
      <c r="F77" s="25">
        <f>IF(COUNT(G77)=1,G77,HLOOKUP(F$65,defaults!$A$182:$C$194,MATCH('out-of-barn'!F76,defaults!$A$182:$A$194,0),FALSE))</f>
        <v>1</v>
      </c>
      <c r="G77" s="60"/>
      <c r="H77" s="10" t="s">
        <v>251</v>
      </c>
      <c r="I77" s="25">
        <f>IF(COUNT(J77)=1,J77,HLOOKUP(I$65,defaults!$A$182:$C$194,MATCH('out-of-barn'!I76,defaults!$A$182:$A$194,0),FALSE))</f>
        <v>1</v>
      </c>
      <c r="J77" s="60"/>
      <c r="K77" s="10" t="s">
        <v>251</v>
      </c>
      <c r="L77" s="25">
        <f>IF(COUNT(M77)=1,M77,HLOOKUP(L$65,defaults!$A$182:$C$194,MATCH('out-of-barn'!L76,defaults!$A$182:$A$194,0),FALSE))</f>
        <v>1</v>
      </c>
      <c r="M77" s="60"/>
      <c r="N77" s="10" t="s">
        <v>251</v>
      </c>
      <c r="O77" s="25">
        <f>IF(COUNT(P77)=1,P77,HLOOKUP(O$65,defaults!$A$182:$C$194,MATCH('out-of-barn'!O76,defaults!$A$182:$A$194,0),FALSE))</f>
        <v>1</v>
      </c>
      <c r="P77" s="60"/>
      <c r="Q77" s="10" t="s">
        <v>251</v>
      </c>
      <c r="R77" s="25">
        <f>IF(COUNT(S77)=1,S77,HLOOKUP(R$65,defaults!$A$182:$C$194,MATCH('out-of-barn'!R76,defaults!$A$182:$A$194,0),FALSE))</f>
        <v>1</v>
      </c>
      <c r="S77" s="60"/>
      <c r="T77" s="10" t="s">
        <v>251</v>
      </c>
      <c r="U77" s="25">
        <f>IF(COUNT(V77)=1,V77,HLOOKUP(U$65,defaults!$A$182:$C$194,MATCH('out-of-barn'!U76,defaults!$A$182:$A$194,0),FALSE))</f>
        <v>1</v>
      </c>
      <c r="V77" s="60"/>
      <c r="W77" s="10" t="s">
        <v>251</v>
      </c>
      <c r="X77" s="25">
        <f>IF(COUNT(Y77)=1,Y77,HLOOKUP(X$65,defaults!$A$182:$C$194,MATCH('out-of-barn'!X76,defaults!$A$182:$A$194,0),FALSE))</f>
        <v>1</v>
      </c>
      <c r="Y77" s="60"/>
      <c r="Z77" s="10" t="s">
        <v>251</v>
      </c>
      <c r="AA77" s="25">
        <f>IF(COUNT(AB77)=1,AB77,HLOOKUP(AA$65,defaults!$A$182:$C$194,MATCH('out-of-barn'!AA76,defaults!$A$182:$A$194,0),FALSE))</f>
        <v>1</v>
      </c>
      <c r="AB77" s="60"/>
      <c r="AC77" s="10" t="s">
        <v>251</v>
      </c>
      <c r="AD77" s="25">
        <f>IF(COUNT(AE77)=1,AE77,HLOOKUP(AD$65,defaults!$A$182:$C$194,MATCH('out-of-barn'!AD76,defaults!$A$182:$A$194,0),FALSE))</f>
        <v>1</v>
      </c>
      <c r="AE77" s="60"/>
    </row>
    <row r="78" spans="2:31" x14ac:dyDescent="0.25">
      <c r="B78" s="10" t="s">
        <v>252</v>
      </c>
      <c r="C78" s="36" t="s">
        <v>153</v>
      </c>
      <c r="D78" s="63"/>
      <c r="E78" s="10" t="s">
        <v>252</v>
      </c>
      <c r="F78" s="36" t="s">
        <v>153</v>
      </c>
      <c r="G78" s="63"/>
      <c r="H78" s="10" t="s">
        <v>252</v>
      </c>
      <c r="I78" s="36" t="s">
        <v>153</v>
      </c>
      <c r="J78" s="63"/>
      <c r="K78" s="10" t="s">
        <v>252</v>
      </c>
      <c r="L78" s="36" t="s">
        <v>153</v>
      </c>
      <c r="M78" s="63"/>
      <c r="N78" s="10" t="s">
        <v>252</v>
      </c>
      <c r="O78" s="36" t="s">
        <v>153</v>
      </c>
      <c r="P78" s="63"/>
      <c r="Q78" s="10" t="s">
        <v>252</v>
      </c>
      <c r="R78" s="36" t="s">
        <v>153</v>
      </c>
      <c r="S78" s="63"/>
      <c r="T78" s="10" t="s">
        <v>252</v>
      </c>
      <c r="U78" s="36" t="s">
        <v>153</v>
      </c>
      <c r="V78" s="63"/>
      <c r="W78" s="10" t="s">
        <v>252</v>
      </c>
      <c r="X78" s="36" t="s">
        <v>153</v>
      </c>
      <c r="Y78" s="63"/>
      <c r="Z78" s="10" t="s">
        <v>252</v>
      </c>
      <c r="AA78" s="36" t="s">
        <v>153</v>
      </c>
      <c r="AB78" s="63"/>
      <c r="AC78" s="10" t="s">
        <v>252</v>
      </c>
      <c r="AD78" s="36" t="s">
        <v>153</v>
      </c>
      <c r="AE78" s="63"/>
    </row>
    <row r="79" spans="2:31" x14ac:dyDescent="0.25">
      <c r="B79" s="10" t="s">
        <v>253</v>
      </c>
      <c r="C79" s="25">
        <f>IF(COUNT(D79)=1,D79,HLOOKUP(C$65,defaults!$A$182:$C$194,MATCH('out-of-barn'!C78,defaults!$A$182:$A$194,0),FALSE))</f>
        <v>8</v>
      </c>
      <c r="D79" s="60"/>
      <c r="E79" s="10" t="s">
        <v>253</v>
      </c>
      <c r="F79" s="25">
        <f>IF(COUNT(G79)=1,G79,HLOOKUP(F$65,defaults!$A$182:$C$194,MATCH('out-of-barn'!F78,defaults!$A$182:$A$194,0),FALSE))</f>
        <v>1</v>
      </c>
      <c r="G79" s="60"/>
      <c r="H79" s="10" t="s">
        <v>253</v>
      </c>
      <c r="I79" s="25">
        <f>IF(COUNT(J79)=1,J79,HLOOKUP(I$65,defaults!$A$182:$C$194,MATCH('out-of-barn'!I78,defaults!$A$182:$A$194,0),FALSE))</f>
        <v>1</v>
      </c>
      <c r="J79" s="60"/>
      <c r="K79" s="10" t="s">
        <v>253</v>
      </c>
      <c r="L79" s="25">
        <f>IF(COUNT(M79)=1,M79,HLOOKUP(L$65,defaults!$A$182:$C$194,MATCH('out-of-barn'!L78,defaults!$A$182:$A$194,0),FALSE))</f>
        <v>1</v>
      </c>
      <c r="M79" s="60"/>
      <c r="N79" s="10" t="s">
        <v>253</v>
      </c>
      <c r="O79" s="25">
        <f>IF(COUNT(P79)=1,P79,HLOOKUP(O$65,defaults!$A$182:$C$194,MATCH('out-of-barn'!O78,defaults!$A$182:$A$194,0),FALSE))</f>
        <v>1</v>
      </c>
      <c r="P79" s="60"/>
      <c r="Q79" s="10" t="s">
        <v>253</v>
      </c>
      <c r="R79" s="25">
        <f>IF(COUNT(S79)=1,S79,HLOOKUP(R$65,defaults!$A$182:$C$194,MATCH('out-of-barn'!R78,defaults!$A$182:$A$194,0),FALSE))</f>
        <v>1</v>
      </c>
      <c r="S79" s="60"/>
      <c r="T79" s="10" t="s">
        <v>253</v>
      </c>
      <c r="U79" s="25">
        <f>IF(COUNT(V79)=1,V79,HLOOKUP(U$65,defaults!$A$182:$C$194,MATCH('out-of-barn'!U78,defaults!$A$182:$A$194,0),FALSE))</f>
        <v>1</v>
      </c>
      <c r="V79" s="60"/>
      <c r="W79" s="10" t="s">
        <v>253</v>
      </c>
      <c r="X79" s="25">
        <f>IF(COUNT(Y79)=1,Y79,HLOOKUP(X$65,defaults!$A$182:$C$194,MATCH('out-of-barn'!X78,defaults!$A$182:$A$194,0),FALSE))</f>
        <v>1</v>
      </c>
      <c r="Y79" s="60"/>
      <c r="Z79" s="10" t="s">
        <v>253</v>
      </c>
      <c r="AA79" s="25">
        <f>IF(COUNT(AB79)=1,AB79,HLOOKUP(AA$65,defaults!$A$182:$C$194,MATCH('out-of-barn'!AA78,defaults!$A$182:$A$194,0),FALSE))</f>
        <v>1</v>
      </c>
      <c r="AB79" s="60"/>
      <c r="AC79" s="10" t="s">
        <v>253</v>
      </c>
      <c r="AD79" s="25">
        <f>IF(COUNT(AE79)=1,AE79,HLOOKUP(AD$65,defaults!$A$182:$C$194,MATCH('out-of-barn'!AD78,defaults!$A$182:$A$194,0),FALSE))</f>
        <v>1</v>
      </c>
      <c r="AE79" s="60"/>
    </row>
    <row r="80" spans="2:31" x14ac:dyDescent="0.25">
      <c r="B80" s="10" t="s">
        <v>254</v>
      </c>
      <c r="C80" s="36" t="s">
        <v>154</v>
      </c>
      <c r="D80" s="63"/>
      <c r="E80" s="10" t="s">
        <v>254</v>
      </c>
      <c r="F80" s="36" t="s">
        <v>154</v>
      </c>
      <c r="G80" s="63"/>
      <c r="H80" s="10" t="s">
        <v>254</v>
      </c>
      <c r="I80" s="36" t="s">
        <v>154</v>
      </c>
      <c r="J80" s="63"/>
      <c r="K80" s="10" t="s">
        <v>254</v>
      </c>
      <c r="L80" s="36" t="s">
        <v>154</v>
      </c>
      <c r="M80" s="63"/>
      <c r="N80" s="10" t="s">
        <v>254</v>
      </c>
      <c r="O80" s="36" t="s">
        <v>154</v>
      </c>
      <c r="P80" s="63"/>
      <c r="Q80" s="10" t="s">
        <v>254</v>
      </c>
      <c r="R80" s="36" t="s">
        <v>154</v>
      </c>
      <c r="S80" s="63"/>
      <c r="T80" s="10" t="s">
        <v>254</v>
      </c>
      <c r="U80" s="36" t="s">
        <v>154</v>
      </c>
      <c r="V80" s="63"/>
      <c r="W80" s="10" t="s">
        <v>254</v>
      </c>
      <c r="X80" s="36" t="s">
        <v>154</v>
      </c>
      <c r="Y80" s="63"/>
      <c r="Z80" s="10" t="s">
        <v>254</v>
      </c>
      <c r="AA80" s="36" t="s">
        <v>154</v>
      </c>
      <c r="AB80" s="63"/>
      <c r="AC80" s="10" t="s">
        <v>254</v>
      </c>
      <c r="AD80" s="36" t="s">
        <v>154</v>
      </c>
      <c r="AE80" s="63"/>
    </row>
    <row r="81" spans="2:31" x14ac:dyDescent="0.25">
      <c r="B81" s="10" t="s">
        <v>255</v>
      </c>
      <c r="C81" s="25">
        <f>IF(COUNT(D81)=1,D81,HLOOKUP(C$65,defaults!$A$182:$C$194,MATCH('out-of-barn'!C80,defaults!$A$182:$A$194,0),FALSE))</f>
        <v>6</v>
      </c>
      <c r="D81" s="60"/>
      <c r="E81" s="10" t="s">
        <v>255</v>
      </c>
      <c r="F81" s="25">
        <f>IF(COUNT(G81)=1,G81,HLOOKUP(F$65,defaults!$A$182:$C$194,MATCH('out-of-barn'!F80,defaults!$A$182:$A$194,0),FALSE))</f>
        <v>3</v>
      </c>
      <c r="G81" s="60"/>
      <c r="H81" s="10" t="s">
        <v>255</v>
      </c>
      <c r="I81" s="25">
        <f>IF(COUNT(J81)=1,J81,HLOOKUP(I$65,defaults!$A$182:$C$194,MATCH('out-of-barn'!I80,defaults!$A$182:$A$194,0),FALSE))</f>
        <v>3</v>
      </c>
      <c r="J81" s="60"/>
      <c r="K81" s="10" t="s">
        <v>255</v>
      </c>
      <c r="L81" s="25">
        <f>IF(COUNT(M81)=1,M81,HLOOKUP(L$65,defaults!$A$182:$C$194,MATCH('out-of-barn'!L80,defaults!$A$182:$A$194,0),FALSE))</f>
        <v>3</v>
      </c>
      <c r="M81" s="60"/>
      <c r="N81" s="10" t="s">
        <v>255</v>
      </c>
      <c r="O81" s="25">
        <f>IF(COUNT(P81)=1,P81,HLOOKUP(O$65,defaults!$A$182:$C$194,MATCH('out-of-barn'!O80,defaults!$A$182:$A$194,0),FALSE))</f>
        <v>3</v>
      </c>
      <c r="P81" s="60"/>
      <c r="Q81" s="10" t="s">
        <v>255</v>
      </c>
      <c r="R81" s="25">
        <f>IF(COUNT(S81)=1,S81,HLOOKUP(R$65,defaults!$A$182:$C$194,MATCH('out-of-barn'!R80,defaults!$A$182:$A$194,0),FALSE))</f>
        <v>3</v>
      </c>
      <c r="S81" s="60"/>
      <c r="T81" s="10" t="s">
        <v>255</v>
      </c>
      <c r="U81" s="25">
        <f>IF(COUNT(V81)=1,V81,HLOOKUP(U$65,defaults!$A$182:$C$194,MATCH('out-of-barn'!U80,defaults!$A$182:$A$194,0),FALSE))</f>
        <v>3</v>
      </c>
      <c r="V81" s="60"/>
      <c r="W81" s="10" t="s">
        <v>255</v>
      </c>
      <c r="X81" s="25">
        <f>IF(COUNT(Y81)=1,Y81,HLOOKUP(X$65,defaults!$A$182:$C$194,MATCH('out-of-barn'!X80,defaults!$A$182:$A$194,0),FALSE))</f>
        <v>3</v>
      </c>
      <c r="Y81" s="60"/>
      <c r="Z81" s="10" t="s">
        <v>255</v>
      </c>
      <c r="AA81" s="25">
        <f>IF(COUNT(AB81)=1,AB81,HLOOKUP(AA$65,defaults!$A$182:$C$194,MATCH('out-of-barn'!AA80,defaults!$A$182:$A$194,0),FALSE))</f>
        <v>3</v>
      </c>
      <c r="AB81" s="60"/>
      <c r="AC81" s="10" t="s">
        <v>255</v>
      </c>
      <c r="AD81" s="25">
        <f>IF(COUNT(AE81)=1,AE81,HLOOKUP(AD$65,defaults!$A$182:$C$194,MATCH('out-of-barn'!AD80,defaults!$A$182:$A$194,0),FALSE))</f>
        <v>3</v>
      </c>
      <c r="AE81" s="60"/>
    </row>
    <row r="82" spans="2:31" x14ac:dyDescent="0.25">
      <c r="B82" s="10" t="s">
        <v>256</v>
      </c>
      <c r="C82" s="36" t="s">
        <v>155</v>
      </c>
      <c r="D82" s="63"/>
      <c r="E82" s="10" t="s">
        <v>256</v>
      </c>
      <c r="F82" s="36" t="s">
        <v>155</v>
      </c>
      <c r="G82" s="63"/>
      <c r="H82" s="10" t="s">
        <v>256</v>
      </c>
      <c r="I82" s="36" t="s">
        <v>155</v>
      </c>
      <c r="J82" s="63"/>
      <c r="K82" s="10" t="s">
        <v>256</v>
      </c>
      <c r="L82" s="36" t="s">
        <v>155</v>
      </c>
      <c r="M82" s="63"/>
      <c r="N82" s="10" t="s">
        <v>256</v>
      </c>
      <c r="O82" s="36" t="s">
        <v>155</v>
      </c>
      <c r="P82" s="63"/>
      <c r="Q82" s="10" t="s">
        <v>256</v>
      </c>
      <c r="R82" s="36" t="s">
        <v>155</v>
      </c>
      <c r="S82" s="63"/>
      <c r="T82" s="10" t="s">
        <v>256</v>
      </c>
      <c r="U82" s="36" t="s">
        <v>155</v>
      </c>
      <c r="V82" s="63"/>
      <c r="W82" s="10" t="s">
        <v>256</v>
      </c>
      <c r="X82" s="36" t="s">
        <v>155</v>
      </c>
      <c r="Y82" s="63"/>
      <c r="Z82" s="10" t="s">
        <v>256</v>
      </c>
      <c r="AA82" s="36" t="s">
        <v>155</v>
      </c>
      <c r="AB82" s="63"/>
      <c r="AC82" s="10" t="s">
        <v>256</v>
      </c>
      <c r="AD82" s="36" t="s">
        <v>155</v>
      </c>
      <c r="AE82" s="63"/>
    </row>
    <row r="83" spans="2:31" x14ac:dyDescent="0.25">
      <c r="B83" s="10" t="s">
        <v>257</v>
      </c>
      <c r="C83" s="25">
        <f>IF(COUNT(D83)=1,D83,HLOOKUP(C$65,defaults!$A$182:$C$194,MATCH('out-of-barn'!C82,defaults!$A$182:$A$194,0),FALSE))</f>
        <v>2</v>
      </c>
      <c r="D83" s="60"/>
      <c r="E83" s="10" t="s">
        <v>257</v>
      </c>
      <c r="F83" s="25">
        <f>IF(COUNT(G83)=1,G83,HLOOKUP(F$65,defaults!$A$182:$C$194,MATCH('out-of-barn'!F82,defaults!$A$182:$A$194,0),FALSE))</f>
        <v>3</v>
      </c>
      <c r="G83" s="60"/>
      <c r="H83" s="10" t="s">
        <v>257</v>
      </c>
      <c r="I83" s="25">
        <f>IF(COUNT(J83)=1,J83,HLOOKUP(I$65,defaults!$A$182:$C$194,MATCH('out-of-barn'!I82,defaults!$A$182:$A$194,0),FALSE))</f>
        <v>3</v>
      </c>
      <c r="J83" s="60"/>
      <c r="K83" s="10" t="s">
        <v>257</v>
      </c>
      <c r="L83" s="25">
        <f>IF(COUNT(M83)=1,M83,HLOOKUP(L$65,defaults!$A$182:$C$194,MATCH('out-of-barn'!L82,defaults!$A$182:$A$194,0),FALSE))</f>
        <v>3</v>
      </c>
      <c r="M83" s="60"/>
      <c r="N83" s="10" t="s">
        <v>257</v>
      </c>
      <c r="O83" s="25">
        <f>IF(COUNT(P83)=1,P83,HLOOKUP(O$65,defaults!$A$182:$C$194,MATCH('out-of-barn'!O82,defaults!$A$182:$A$194,0),FALSE))</f>
        <v>3</v>
      </c>
      <c r="P83" s="60"/>
      <c r="Q83" s="10" t="s">
        <v>257</v>
      </c>
      <c r="R83" s="25">
        <f>IF(COUNT(S83)=1,S83,HLOOKUP(R$65,defaults!$A$182:$C$194,MATCH('out-of-barn'!R82,defaults!$A$182:$A$194,0),FALSE))</f>
        <v>3</v>
      </c>
      <c r="S83" s="60"/>
      <c r="T83" s="10" t="s">
        <v>257</v>
      </c>
      <c r="U83" s="25">
        <f>IF(COUNT(V83)=1,V83,HLOOKUP(U$65,defaults!$A$182:$C$194,MATCH('out-of-barn'!U82,defaults!$A$182:$A$194,0),FALSE))</f>
        <v>3</v>
      </c>
      <c r="V83" s="60"/>
      <c r="W83" s="10" t="s">
        <v>257</v>
      </c>
      <c r="X83" s="25">
        <f>IF(COUNT(Y83)=1,Y83,HLOOKUP(X$65,defaults!$A$182:$C$194,MATCH('out-of-barn'!X82,defaults!$A$182:$A$194,0),FALSE))</f>
        <v>3</v>
      </c>
      <c r="Y83" s="60"/>
      <c r="Z83" s="10" t="s">
        <v>257</v>
      </c>
      <c r="AA83" s="25">
        <f>IF(COUNT(AB83)=1,AB83,HLOOKUP(AA$65,defaults!$A$182:$C$194,MATCH('out-of-barn'!AA82,defaults!$A$182:$A$194,0),FALSE))</f>
        <v>3</v>
      </c>
      <c r="AB83" s="60"/>
      <c r="AC83" s="10" t="s">
        <v>257</v>
      </c>
      <c r="AD83" s="25">
        <f>IF(COUNT(AE83)=1,AE83,HLOOKUP(AD$65,defaults!$A$182:$C$194,MATCH('out-of-barn'!AD82,defaults!$A$182:$A$194,0),FALSE))</f>
        <v>3</v>
      </c>
      <c r="AE83" s="60"/>
    </row>
    <row r="84" spans="2:31" x14ac:dyDescent="0.25">
      <c r="B84" s="10" t="s">
        <v>258</v>
      </c>
      <c r="C84" s="36" t="s">
        <v>156</v>
      </c>
      <c r="D84" s="63"/>
      <c r="E84" s="10" t="s">
        <v>258</v>
      </c>
      <c r="F84" s="36" t="s">
        <v>156</v>
      </c>
      <c r="G84" s="63"/>
      <c r="H84" s="10" t="s">
        <v>258</v>
      </c>
      <c r="I84" s="36" t="s">
        <v>156</v>
      </c>
      <c r="J84" s="63"/>
      <c r="K84" s="10" t="s">
        <v>258</v>
      </c>
      <c r="L84" s="36" t="s">
        <v>156</v>
      </c>
      <c r="M84" s="63"/>
      <c r="N84" s="10" t="s">
        <v>258</v>
      </c>
      <c r="O84" s="36" t="s">
        <v>156</v>
      </c>
      <c r="P84" s="63"/>
      <c r="Q84" s="10" t="s">
        <v>258</v>
      </c>
      <c r="R84" s="36" t="s">
        <v>156</v>
      </c>
      <c r="S84" s="63"/>
      <c r="T84" s="10" t="s">
        <v>258</v>
      </c>
      <c r="U84" s="36" t="s">
        <v>156</v>
      </c>
      <c r="V84" s="63"/>
      <c r="W84" s="10" t="s">
        <v>258</v>
      </c>
      <c r="X84" s="36" t="s">
        <v>156</v>
      </c>
      <c r="Y84" s="63"/>
      <c r="Z84" s="10" t="s">
        <v>258</v>
      </c>
      <c r="AA84" s="36" t="s">
        <v>156</v>
      </c>
      <c r="AB84" s="63"/>
      <c r="AC84" s="10" t="s">
        <v>258</v>
      </c>
      <c r="AD84" s="36" t="s">
        <v>156</v>
      </c>
      <c r="AE84" s="63"/>
    </row>
    <row r="85" spans="2:31" x14ac:dyDescent="0.25">
      <c r="B85" s="10" t="s">
        <v>259</v>
      </c>
      <c r="C85" s="25">
        <f>IF(COUNT(D85)=1,D85,HLOOKUP(C$65,defaults!$A$182:$C$194,MATCH('out-of-barn'!C84,defaults!$A$182:$A$194,0),FALSE))</f>
        <v>0</v>
      </c>
      <c r="D85" s="60"/>
      <c r="E85" s="10" t="s">
        <v>259</v>
      </c>
      <c r="F85" s="25">
        <f>IF(COUNT(G85)=1,G85,HLOOKUP(F$65,defaults!$A$182:$C$194,MATCH('out-of-barn'!F84,defaults!$A$182:$A$194,0),FALSE))</f>
        <v>1</v>
      </c>
      <c r="G85" s="60"/>
      <c r="H85" s="10" t="s">
        <v>259</v>
      </c>
      <c r="I85" s="25">
        <f>IF(COUNT(J85)=1,J85,HLOOKUP(I$65,defaults!$A$182:$C$194,MATCH('out-of-barn'!I84,defaults!$A$182:$A$194,0),FALSE))</f>
        <v>1</v>
      </c>
      <c r="J85" s="60"/>
      <c r="K85" s="10" t="s">
        <v>259</v>
      </c>
      <c r="L85" s="25">
        <f>IF(COUNT(M85)=1,M85,HLOOKUP(L$65,defaults!$A$182:$C$194,MATCH('out-of-barn'!L84,defaults!$A$182:$A$194,0),FALSE))</f>
        <v>1</v>
      </c>
      <c r="M85" s="60"/>
      <c r="N85" s="10" t="s">
        <v>259</v>
      </c>
      <c r="O85" s="25">
        <f>IF(COUNT(P85)=1,P85,HLOOKUP(O$65,defaults!$A$182:$C$194,MATCH('out-of-barn'!O84,defaults!$A$182:$A$194,0),FALSE))</f>
        <v>1</v>
      </c>
      <c r="P85" s="60"/>
      <c r="Q85" s="10" t="s">
        <v>259</v>
      </c>
      <c r="R85" s="25">
        <f>IF(COUNT(S85)=1,S85,HLOOKUP(R$65,defaults!$A$182:$C$194,MATCH('out-of-barn'!R84,defaults!$A$182:$A$194,0),FALSE))</f>
        <v>1</v>
      </c>
      <c r="S85" s="60"/>
      <c r="T85" s="10" t="s">
        <v>259</v>
      </c>
      <c r="U85" s="25">
        <f>IF(COUNT(V85)=1,V85,HLOOKUP(U$65,defaults!$A$182:$C$194,MATCH('out-of-barn'!U84,defaults!$A$182:$A$194,0),FALSE))</f>
        <v>1</v>
      </c>
      <c r="V85" s="60"/>
      <c r="W85" s="10" t="s">
        <v>259</v>
      </c>
      <c r="X85" s="25">
        <f>IF(COUNT(Y85)=1,Y85,HLOOKUP(X$65,defaults!$A$182:$C$194,MATCH('out-of-barn'!X84,defaults!$A$182:$A$194,0),FALSE))</f>
        <v>1</v>
      </c>
      <c r="Y85" s="60"/>
      <c r="Z85" s="10" t="s">
        <v>259</v>
      </c>
      <c r="AA85" s="25">
        <f>IF(COUNT(AB85)=1,AB85,HLOOKUP(AA$65,defaults!$A$182:$C$194,MATCH('out-of-barn'!AA84,defaults!$A$182:$A$194,0),FALSE))</f>
        <v>1</v>
      </c>
      <c r="AB85" s="60"/>
      <c r="AC85" s="10" t="s">
        <v>259</v>
      </c>
      <c r="AD85" s="25">
        <f>IF(COUNT(AE85)=1,AE85,HLOOKUP(AD$65,defaults!$A$182:$C$194,MATCH('out-of-barn'!AD84,defaults!$A$182:$A$194,0),FALSE))</f>
        <v>1</v>
      </c>
      <c r="AE85" s="60"/>
    </row>
    <row r="86" spans="2:31" x14ac:dyDescent="0.25">
      <c r="B86" s="10" t="s">
        <v>260</v>
      </c>
      <c r="C86" s="36" t="s">
        <v>157</v>
      </c>
      <c r="D86" s="63"/>
      <c r="E86" s="10" t="s">
        <v>260</v>
      </c>
      <c r="F86" s="36" t="s">
        <v>157</v>
      </c>
      <c r="G86" s="63"/>
      <c r="H86" s="10" t="s">
        <v>260</v>
      </c>
      <c r="I86" s="36" t="s">
        <v>157</v>
      </c>
      <c r="J86" s="63"/>
      <c r="K86" s="10" t="s">
        <v>260</v>
      </c>
      <c r="L86" s="36" t="s">
        <v>157</v>
      </c>
      <c r="M86" s="63"/>
      <c r="N86" s="10" t="s">
        <v>260</v>
      </c>
      <c r="O86" s="36" t="s">
        <v>157</v>
      </c>
      <c r="P86" s="63"/>
      <c r="Q86" s="10" t="s">
        <v>260</v>
      </c>
      <c r="R86" s="36" t="s">
        <v>157</v>
      </c>
      <c r="S86" s="63"/>
      <c r="T86" s="10" t="s">
        <v>260</v>
      </c>
      <c r="U86" s="36" t="s">
        <v>157</v>
      </c>
      <c r="V86" s="63"/>
      <c r="W86" s="10" t="s">
        <v>260</v>
      </c>
      <c r="X86" s="36" t="s">
        <v>157</v>
      </c>
      <c r="Y86" s="63"/>
      <c r="Z86" s="10" t="s">
        <v>260</v>
      </c>
      <c r="AA86" s="36" t="s">
        <v>157</v>
      </c>
      <c r="AB86" s="63"/>
      <c r="AC86" s="10" t="s">
        <v>260</v>
      </c>
      <c r="AD86" s="36" t="s">
        <v>157</v>
      </c>
      <c r="AE86" s="63"/>
    </row>
    <row r="87" spans="2:31" x14ac:dyDescent="0.25">
      <c r="B87" s="10" t="s">
        <v>261</v>
      </c>
      <c r="C87" s="25">
        <f>IF(COUNT(D87)=1,D87,HLOOKUP(C$65,defaults!$A$182:$C$194,MATCH('out-of-barn'!C86,defaults!$A$182:$A$194,0),FALSE))</f>
        <v>0</v>
      </c>
      <c r="D87" s="60"/>
      <c r="E87" s="10" t="s">
        <v>261</v>
      </c>
      <c r="F87" s="25">
        <f>IF(COUNT(G87)=1,G87,HLOOKUP(F$65,defaults!$A$182:$C$194,MATCH('out-of-barn'!F86,defaults!$A$182:$A$194,0),FALSE))</f>
        <v>0</v>
      </c>
      <c r="G87" s="60"/>
      <c r="H87" s="10" t="s">
        <v>261</v>
      </c>
      <c r="I87" s="25">
        <f>IF(COUNT(J87)=1,J87,HLOOKUP(I$65,defaults!$A$182:$C$194,MATCH('out-of-barn'!I86,defaults!$A$182:$A$194,0),FALSE))</f>
        <v>0</v>
      </c>
      <c r="J87" s="60"/>
      <c r="K87" s="10" t="s">
        <v>261</v>
      </c>
      <c r="L87" s="25">
        <f>IF(COUNT(M87)=1,M87,HLOOKUP(L$65,defaults!$A$182:$C$194,MATCH('out-of-barn'!L86,defaults!$A$182:$A$194,0),FALSE))</f>
        <v>0</v>
      </c>
      <c r="M87" s="60"/>
      <c r="N87" s="10" t="s">
        <v>261</v>
      </c>
      <c r="O87" s="25">
        <f>IF(COUNT(P87)=1,P87,HLOOKUP(O$65,defaults!$A$182:$C$194,MATCH('out-of-barn'!O86,defaults!$A$182:$A$194,0),FALSE))</f>
        <v>0</v>
      </c>
      <c r="P87" s="60"/>
      <c r="Q87" s="10" t="s">
        <v>261</v>
      </c>
      <c r="R87" s="25">
        <f>IF(COUNT(S87)=1,S87,HLOOKUP(R$65,defaults!$A$182:$C$194,MATCH('out-of-barn'!R86,defaults!$A$182:$A$194,0),FALSE))</f>
        <v>0</v>
      </c>
      <c r="S87" s="60"/>
      <c r="T87" s="10" t="s">
        <v>261</v>
      </c>
      <c r="U87" s="25">
        <f>IF(COUNT(V87)=1,V87,HLOOKUP(U$65,defaults!$A$182:$C$194,MATCH('out-of-barn'!U86,defaults!$A$182:$A$194,0),FALSE))</f>
        <v>0</v>
      </c>
      <c r="V87" s="60"/>
      <c r="W87" s="10" t="s">
        <v>261</v>
      </c>
      <c r="X87" s="25">
        <f>IF(COUNT(Y87)=1,Y87,HLOOKUP(X$65,defaults!$A$182:$C$194,MATCH('out-of-barn'!X86,defaults!$A$182:$A$194,0),FALSE))</f>
        <v>0</v>
      </c>
      <c r="Y87" s="60"/>
      <c r="Z87" s="10" t="s">
        <v>261</v>
      </c>
      <c r="AA87" s="25">
        <f>IF(COUNT(AB87)=1,AB87,HLOOKUP(AA$65,defaults!$A$182:$C$194,MATCH('out-of-barn'!AA86,defaults!$A$182:$A$194,0),FALSE))</f>
        <v>0</v>
      </c>
      <c r="AB87" s="60"/>
      <c r="AC87" s="10" t="s">
        <v>261</v>
      </c>
      <c r="AD87" s="25">
        <f>IF(COUNT(AE87)=1,AE87,HLOOKUP(AD$65,defaults!$A$182:$C$194,MATCH('out-of-barn'!AD86,defaults!$A$182:$A$194,0),FALSE))</f>
        <v>0</v>
      </c>
      <c r="AE87" s="60"/>
    </row>
    <row r="88" spans="2:31" x14ac:dyDescent="0.25">
      <c r="B88" s="10" t="s">
        <v>262</v>
      </c>
      <c r="C88" s="36" t="s">
        <v>158</v>
      </c>
      <c r="D88" s="63"/>
      <c r="E88" s="10" t="s">
        <v>262</v>
      </c>
      <c r="F88" s="36" t="s">
        <v>158</v>
      </c>
      <c r="G88" s="63"/>
      <c r="H88" s="10" t="s">
        <v>262</v>
      </c>
      <c r="I88" s="36" t="s">
        <v>158</v>
      </c>
      <c r="J88" s="63"/>
      <c r="K88" s="10" t="s">
        <v>262</v>
      </c>
      <c r="L88" s="36" t="s">
        <v>158</v>
      </c>
      <c r="M88" s="63"/>
      <c r="N88" s="10" t="s">
        <v>262</v>
      </c>
      <c r="O88" s="36" t="s">
        <v>158</v>
      </c>
      <c r="P88" s="63"/>
      <c r="Q88" s="10" t="s">
        <v>262</v>
      </c>
      <c r="R88" s="36" t="s">
        <v>158</v>
      </c>
      <c r="S88" s="63"/>
      <c r="T88" s="10" t="s">
        <v>262</v>
      </c>
      <c r="U88" s="36" t="s">
        <v>158</v>
      </c>
      <c r="V88" s="63"/>
      <c r="W88" s="10" t="s">
        <v>262</v>
      </c>
      <c r="X88" s="36" t="s">
        <v>158</v>
      </c>
      <c r="Y88" s="63"/>
      <c r="Z88" s="10" t="s">
        <v>262</v>
      </c>
      <c r="AA88" s="36" t="s">
        <v>158</v>
      </c>
      <c r="AB88" s="63"/>
      <c r="AC88" s="10" t="s">
        <v>262</v>
      </c>
      <c r="AD88" s="36" t="s">
        <v>158</v>
      </c>
      <c r="AE88" s="63"/>
    </row>
    <row r="89" spans="2:31" x14ac:dyDescent="0.25">
      <c r="B89" s="10" t="s">
        <v>263</v>
      </c>
      <c r="C89" s="25">
        <f>IF(COUNT(D89)=1,D89,HLOOKUP(C$65,defaults!$A$182:$C$194,MATCH('out-of-barn'!C88,defaults!$A$182:$A$194,0),FALSE))</f>
        <v>0</v>
      </c>
      <c r="D89" s="60"/>
      <c r="E89" s="10" t="s">
        <v>263</v>
      </c>
      <c r="F89" s="25">
        <f>IF(COUNT(G89)=1,G89,HLOOKUP(F$65,defaults!$A$182:$C$194,MATCH('out-of-barn'!F88,defaults!$A$182:$A$194,0),FALSE))</f>
        <v>0</v>
      </c>
      <c r="G89" s="60"/>
      <c r="H89" s="10" t="s">
        <v>263</v>
      </c>
      <c r="I89" s="25">
        <f>IF(COUNT(J89)=1,J89,HLOOKUP(I$65,defaults!$A$182:$C$194,MATCH('out-of-barn'!I88,defaults!$A$182:$A$194,0),FALSE))</f>
        <v>0</v>
      </c>
      <c r="J89" s="60"/>
      <c r="K89" s="10" t="s">
        <v>263</v>
      </c>
      <c r="L89" s="25">
        <f>IF(COUNT(M89)=1,M89,HLOOKUP(L$65,defaults!$A$182:$C$194,MATCH('out-of-barn'!L88,defaults!$A$182:$A$194,0),FALSE))</f>
        <v>0</v>
      </c>
      <c r="M89" s="60"/>
      <c r="N89" s="10" t="s">
        <v>263</v>
      </c>
      <c r="O89" s="25">
        <f>IF(COUNT(P89)=1,P89,HLOOKUP(O$65,defaults!$A$182:$C$194,MATCH('out-of-barn'!O88,defaults!$A$182:$A$194,0),FALSE))</f>
        <v>0</v>
      </c>
      <c r="P89" s="60"/>
      <c r="Q89" s="10" t="s">
        <v>263</v>
      </c>
      <c r="R89" s="25">
        <f>IF(COUNT(S89)=1,S89,HLOOKUP(R$65,defaults!$A$182:$C$194,MATCH('out-of-barn'!R88,defaults!$A$182:$A$194,0),FALSE))</f>
        <v>0</v>
      </c>
      <c r="S89" s="60"/>
      <c r="T89" s="10" t="s">
        <v>263</v>
      </c>
      <c r="U89" s="25">
        <f>IF(COUNT(V89)=1,V89,HLOOKUP(U$65,defaults!$A$182:$C$194,MATCH('out-of-barn'!U88,defaults!$A$182:$A$194,0),FALSE))</f>
        <v>0</v>
      </c>
      <c r="V89" s="60"/>
      <c r="W89" s="10" t="s">
        <v>263</v>
      </c>
      <c r="X89" s="25">
        <f>IF(COUNT(Y89)=1,Y89,HLOOKUP(X$65,defaults!$A$182:$C$194,MATCH('out-of-barn'!X88,defaults!$A$182:$A$194,0),FALSE))</f>
        <v>0</v>
      </c>
      <c r="Y89" s="60"/>
      <c r="Z89" s="10" t="s">
        <v>263</v>
      </c>
      <c r="AA89" s="25">
        <f>IF(COUNT(AB89)=1,AB89,HLOOKUP(AA$65,defaults!$A$182:$C$194,MATCH('out-of-barn'!AA88,defaults!$A$182:$A$194,0),FALSE))</f>
        <v>0</v>
      </c>
      <c r="AB89" s="60"/>
      <c r="AC89" s="10" t="s">
        <v>263</v>
      </c>
      <c r="AD89" s="25">
        <f>IF(COUNT(AE89)=1,AE89,HLOOKUP(AD$65,defaults!$A$182:$C$194,MATCH('out-of-barn'!AD88,defaults!$A$182:$A$194,0),FALSE))</f>
        <v>0</v>
      </c>
      <c r="AE89" s="60"/>
    </row>
    <row r="90" spans="2:31" x14ac:dyDescent="0.25">
      <c r="B90" s="10" t="s">
        <v>237</v>
      </c>
      <c r="C90" s="25">
        <f>SUM(C67,C69,C71,C73,C75,C77,C79,C81,C83,C85,C87,C89)</f>
        <v>100</v>
      </c>
      <c r="D90" s="68" t="str">
        <f>IF(C90 = 100,"","warning")</f>
        <v/>
      </c>
      <c r="E90" s="10" t="s">
        <v>237</v>
      </c>
      <c r="F90" s="25">
        <f>SUM(F67,F69,F71,F73,F75,F77,F79,F81,F83,F85,F87,F89)</f>
        <v>100</v>
      </c>
      <c r="G90" s="68" t="str">
        <f>IF(F90 = 100,"","warning")</f>
        <v/>
      </c>
      <c r="H90" s="10" t="s">
        <v>237</v>
      </c>
      <c r="I90" s="25">
        <f>SUM(I67,I69,I71,I73,I75,I77,I79,I81,I83,I85,I87,I89)</f>
        <v>100</v>
      </c>
      <c r="J90" s="68" t="str">
        <f>IF(I90 = 100,"","warning")</f>
        <v/>
      </c>
      <c r="K90" s="10" t="s">
        <v>237</v>
      </c>
      <c r="L90" s="25">
        <f>SUM(L67,L69,L71,L73,L75,L77,L79,L81,L83,L85,L87,L89)</f>
        <v>100</v>
      </c>
      <c r="M90" s="68" t="str">
        <f>IF(L90 = 100,"","warning")</f>
        <v/>
      </c>
      <c r="N90" s="10" t="s">
        <v>237</v>
      </c>
      <c r="O90" s="25">
        <f>SUM(O67,O69,O71,O73,O75,O77,O79,O81,O83,O85,O87,O89)</f>
        <v>100</v>
      </c>
      <c r="P90" s="68" t="str">
        <f>IF(O90 = 100,"","warning")</f>
        <v/>
      </c>
      <c r="Q90" s="10" t="s">
        <v>237</v>
      </c>
      <c r="R90" s="25">
        <f>SUM(R67,R69,R71,R73,R75,R77,R79,R81,R83,R85,R87,R89)</f>
        <v>100</v>
      </c>
      <c r="S90" s="68" t="str">
        <f>IF(R90 = 100,"","warning")</f>
        <v/>
      </c>
      <c r="T90" s="10" t="s">
        <v>237</v>
      </c>
      <c r="U90" s="25">
        <f>SUM(U67,U69,U71,U73,U75,U77,U79,U81,U83,U85,U87,U89)</f>
        <v>100</v>
      </c>
      <c r="V90" s="68" t="str">
        <f>IF(U90 = 100,"","warning")</f>
        <v/>
      </c>
      <c r="W90" s="10" t="s">
        <v>237</v>
      </c>
      <c r="X90" s="25">
        <f>SUM(X67,X69,X71,X73,X75,X77,X79,X81,X83,X85,X87,X89)</f>
        <v>100</v>
      </c>
      <c r="Y90" s="68" t="str">
        <f>IF(X90 = 100,"","warning")</f>
        <v/>
      </c>
      <c r="Z90" s="10" t="s">
        <v>237</v>
      </c>
      <c r="AA90" s="25">
        <f>SUM(AA67,AA69,AA71,AA73,AA75,AA77,AA79,AA81,AA83,AA85,AA87,AA89)</f>
        <v>100</v>
      </c>
      <c r="AB90" s="68" t="str">
        <f>IF(AA90 = 100,"","warning")</f>
        <v/>
      </c>
      <c r="AC90" s="10" t="s">
        <v>237</v>
      </c>
      <c r="AD90" s="25">
        <f>SUM(AD67,AD69,AD71,AD73,AD75,AD77,AD79,AD81,AD83,AD85,AD87,AD89)</f>
        <v>100</v>
      </c>
      <c r="AE90" s="68" t="str">
        <f>IF(AD90 = 100,"","warning")</f>
        <v/>
      </c>
    </row>
    <row r="91" spans="2:31" x14ac:dyDescent="0.25">
      <c r="C91" s="14"/>
      <c r="D91" s="15"/>
      <c r="F91" s="14"/>
      <c r="G91" s="15"/>
      <c r="I91" s="14"/>
      <c r="J91" s="15"/>
      <c r="L91" s="14"/>
      <c r="M91" s="15"/>
      <c r="O91" s="14"/>
      <c r="P91" s="15"/>
      <c r="R91" s="14"/>
      <c r="S91" s="15"/>
      <c r="U91" s="14"/>
      <c r="V91" s="15"/>
      <c r="X91" s="14"/>
      <c r="Y91" s="15"/>
      <c r="AA91" s="14"/>
      <c r="AB91" s="15"/>
      <c r="AD91" s="14"/>
      <c r="AE91" s="15"/>
    </row>
    <row r="92" spans="2:31" x14ac:dyDescent="0.25">
      <c r="B92" s="24" t="s">
        <v>264</v>
      </c>
      <c r="C92" s="25"/>
      <c r="D92" s="62"/>
      <c r="E92" s="24" t="s">
        <v>264</v>
      </c>
      <c r="F92" s="25"/>
      <c r="G92" s="62"/>
      <c r="H92" s="24" t="s">
        <v>264</v>
      </c>
      <c r="I92" s="25"/>
      <c r="J92" s="62"/>
      <c r="K92" s="24" t="s">
        <v>264</v>
      </c>
      <c r="L92" s="25"/>
      <c r="M92" s="62"/>
      <c r="N92" s="24" t="s">
        <v>264</v>
      </c>
      <c r="O92" s="25"/>
      <c r="P92" s="62"/>
      <c r="Q92" s="24" t="s">
        <v>264</v>
      </c>
      <c r="R92" s="25"/>
      <c r="S92" s="62"/>
      <c r="T92" s="24" t="s">
        <v>264</v>
      </c>
      <c r="U92" s="25"/>
      <c r="V92" s="62"/>
      <c r="W92" s="24" t="s">
        <v>264</v>
      </c>
      <c r="X92" s="25"/>
      <c r="Y92" s="62"/>
      <c r="Z92" s="24" t="s">
        <v>264</v>
      </c>
      <c r="AA92" s="25"/>
      <c r="AB92" s="62"/>
      <c r="AC92" s="24" t="s">
        <v>264</v>
      </c>
      <c r="AD92" s="25"/>
      <c r="AE92" s="62"/>
    </row>
    <row r="93" spans="2:31" ht="17.25" x14ac:dyDescent="0.25">
      <c r="B93" s="10" t="s">
        <v>265</v>
      </c>
      <c r="C93" s="25">
        <f>IF(COUNT(D93)=1,D93,1.9)</f>
        <v>1.9</v>
      </c>
      <c r="D93" s="60"/>
      <c r="E93" s="10" t="s">
        <v>265</v>
      </c>
      <c r="F93" s="25">
        <f>IF(COUNT(G93)=1,G93,1.9)</f>
        <v>1.9</v>
      </c>
      <c r="G93" s="60"/>
      <c r="H93" s="10" t="s">
        <v>265</v>
      </c>
      <c r="I93" s="25">
        <f>IF(COUNT(J93)=1,J93,1.9)</f>
        <v>1.9</v>
      </c>
      <c r="J93" s="60"/>
      <c r="K93" s="10" t="s">
        <v>265</v>
      </c>
      <c r="L93" s="25">
        <f>IF(COUNT(M93)=1,M93,1.9)</f>
        <v>1.9</v>
      </c>
      <c r="M93" s="60"/>
      <c r="N93" s="10" t="s">
        <v>265</v>
      </c>
      <c r="O93" s="25">
        <f>IF(COUNT(P93)=1,P93,1.9)</f>
        <v>1.9</v>
      </c>
      <c r="P93" s="60"/>
      <c r="Q93" s="10" t="s">
        <v>265</v>
      </c>
      <c r="R93" s="25">
        <f>IF(COUNT(S93)=1,S93,1.9)</f>
        <v>1.9</v>
      </c>
      <c r="S93" s="60"/>
      <c r="T93" s="10" t="s">
        <v>265</v>
      </c>
      <c r="U93" s="25">
        <f>IF(COUNT(V93)=1,V93,1.9)</f>
        <v>1.9</v>
      </c>
      <c r="V93" s="60"/>
      <c r="W93" s="10" t="s">
        <v>265</v>
      </c>
      <c r="X93" s="25">
        <f>IF(COUNT(Y93)=1,Y93,1.9)</f>
        <v>1.9</v>
      </c>
      <c r="Y93" s="60"/>
      <c r="Z93" s="10" t="s">
        <v>265</v>
      </c>
      <c r="AA93" s="25">
        <f>IF(COUNT(AB93)=1,AB93,1.9)</f>
        <v>1.9</v>
      </c>
      <c r="AB93" s="60"/>
      <c r="AC93" s="10" t="s">
        <v>265</v>
      </c>
      <c r="AD93" s="25">
        <f>IF(COUNT(AE93)=1,AE93,1.9)</f>
        <v>1.9</v>
      </c>
      <c r="AE93" s="60"/>
    </row>
    <row r="94" spans="2:31" ht="17.25" x14ac:dyDescent="0.25">
      <c r="B94" s="10" t="s">
        <v>266</v>
      </c>
      <c r="C94" s="25">
        <f>IF(COUNT(D94)=1,D94,20)</f>
        <v>0</v>
      </c>
      <c r="D94" s="61">
        <v>0</v>
      </c>
      <c r="E94" s="10" t="s">
        <v>266</v>
      </c>
      <c r="F94" s="25">
        <f>IF(COUNT(G94)=1,G94,20)</f>
        <v>20</v>
      </c>
      <c r="G94" s="61"/>
      <c r="H94" s="10" t="s">
        <v>266</v>
      </c>
      <c r="I94" s="25">
        <f>IF(COUNT(J94)=1,J94,20)</f>
        <v>20</v>
      </c>
      <c r="J94" s="61"/>
      <c r="K94" s="10" t="s">
        <v>266</v>
      </c>
      <c r="L94" s="25">
        <f>IF(COUNT(M94)=1,M94,20)</f>
        <v>20</v>
      </c>
      <c r="M94" s="61"/>
      <c r="N94" s="10" t="s">
        <v>266</v>
      </c>
      <c r="O94" s="25">
        <f>IF(COUNT(P94)=1,P94,20)</f>
        <v>20</v>
      </c>
      <c r="P94" s="61"/>
      <c r="Q94" s="10" t="s">
        <v>266</v>
      </c>
      <c r="R94" s="25">
        <f>IF(COUNT(S94)=1,S94,20)</f>
        <v>20</v>
      </c>
      <c r="S94" s="61"/>
      <c r="T94" s="10" t="s">
        <v>266</v>
      </c>
      <c r="U94" s="25">
        <f>IF(COUNT(V94)=1,V94,20)</f>
        <v>20</v>
      </c>
      <c r="V94" s="61"/>
      <c r="W94" s="10" t="s">
        <v>266</v>
      </c>
      <c r="X94" s="25">
        <f>IF(COUNT(Y94)=1,Y94,20)</f>
        <v>20</v>
      </c>
      <c r="Y94" s="61"/>
      <c r="Z94" s="10" t="s">
        <v>266</v>
      </c>
      <c r="AA94" s="25">
        <f>IF(COUNT(AB94)=1,AB94,20)</f>
        <v>20</v>
      </c>
      <c r="AB94" s="61"/>
      <c r="AC94" s="10" t="s">
        <v>266</v>
      </c>
      <c r="AD94" s="25">
        <f>IF(COUNT(AE94)=1,AE94,20)</f>
        <v>20</v>
      </c>
      <c r="AE94" s="61"/>
    </row>
    <row r="96" spans="2:31" x14ac:dyDescent="0.25">
      <c r="B96" s="26" t="s">
        <v>267</v>
      </c>
      <c r="C96" s="22"/>
      <c r="D96" s="65"/>
      <c r="E96" s="26" t="s">
        <v>267</v>
      </c>
      <c r="F96" s="22"/>
      <c r="G96" s="65"/>
      <c r="H96" s="26" t="s">
        <v>267</v>
      </c>
      <c r="I96" s="22"/>
      <c r="J96" s="65"/>
      <c r="K96" s="26" t="s">
        <v>267</v>
      </c>
      <c r="L96" s="22"/>
      <c r="M96" s="65"/>
      <c r="N96" s="26" t="s">
        <v>267</v>
      </c>
      <c r="O96" s="22"/>
      <c r="P96" s="65"/>
      <c r="Q96" s="26" t="s">
        <v>267</v>
      </c>
      <c r="R96" s="22"/>
      <c r="S96" s="65"/>
      <c r="T96" s="26" t="s">
        <v>267</v>
      </c>
      <c r="U96" s="22"/>
      <c r="V96" s="65"/>
      <c r="W96" s="26" t="s">
        <v>267</v>
      </c>
      <c r="X96" s="22"/>
      <c r="Y96" s="65"/>
      <c r="Z96" s="26" t="s">
        <v>267</v>
      </c>
      <c r="AA96" s="22"/>
      <c r="AB96" s="65"/>
      <c r="AC96" s="26" t="s">
        <v>267</v>
      </c>
      <c r="AD96" s="22"/>
      <c r="AE96" s="65"/>
    </row>
    <row r="97" spans="2:31" x14ac:dyDescent="0.25">
      <c r="B97" s="10" t="s">
        <v>144</v>
      </c>
      <c r="C97" s="22">
        <f>IF(COUNT(D97)=1,D97,HLOOKUP('in-barn'!C9,defaults!$A$142:$C$145,MATCH('out-of-barn'!B97,defaults!$A142:$A145,0),FALSE))</f>
        <v>48</v>
      </c>
      <c r="D97" s="61"/>
      <c r="E97" s="10" t="s">
        <v>144</v>
      </c>
      <c r="F97" s="22">
        <f>IF(COUNT(G97)=1,G97,HLOOKUP('in-barn'!F9,defaults!$A$142:$C$145,MATCH('out-of-barn'!E97,defaults!$A142:$A145,0),FALSE))</f>
        <v>15</v>
      </c>
      <c r="G97" s="61"/>
      <c r="H97" s="10" t="s">
        <v>144</v>
      </c>
      <c r="I97" s="22">
        <f>IF(COUNT(J97)=1,J97,HLOOKUP('in-barn'!I9,defaults!$A$142:$C$145,MATCH('out-of-barn'!H97,defaults!$A142:$A145,0),FALSE))</f>
        <v>15</v>
      </c>
      <c r="J97" s="61"/>
      <c r="K97" s="10" t="s">
        <v>144</v>
      </c>
      <c r="L97" s="22">
        <f>IF(COUNT(M97)=1,M97,HLOOKUP('in-barn'!L9,defaults!$A$142:$C$145,MATCH('out-of-barn'!K97,defaults!$A142:$A145,0),FALSE))</f>
        <v>15</v>
      </c>
      <c r="M97" s="61"/>
      <c r="N97" s="10" t="s">
        <v>144</v>
      </c>
      <c r="O97" s="22">
        <f>IF(COUNT(P97)=1,P97,HLOOKUP('in-barn'!O9,defaults!$A$142:$C$145,MATCH('out-of-barn'!N97,defaults!$A142:$A145,0),FALSE))</f>
        <v>15</v>
      </c>
      <c r="P97" s="61"/>
      <c r="Q97" s="10" t="s">
        <v>144</v>
      </c>
      <c r="R97" s="22">
        <f>IF(COUNT(S97)=1,S97,HLOOKUP('in-barn'!R9,defaults!$A$142:$C$145,MATCH('out-of-barn'!Q97,defaults!$A142:$A145,0),FALSE))</f>
        <v>15</v>
      </c>
      <c r="S97" s="61"/>
      <c r="T97" s="10" t="s">
        <v>144</v>
      </c>
      <c r="U97" s="22">
        <f>IF(COUNT(V97)=1,V97,HLOOKUP('in-barn'!U9,defaults!$A$142:$C$145,MATCH('out-of-barn'!T97,defaults!$A142:$A145,0),FALSE))</f>
        <v>15</v>
      </c>
      <c r="V97" s="61"/>
      <c r="W97" s="10" t="s">
        <v>144</v>
      </c>
      <c r="X97" s="22">
        <f>IF(COUNT(Y97)=1,Y97,HLOOKUP('in-barn'!X9,defaults!$A$142:$C$145,MATCH('out-of-barn'!W97,defaults!$A142:$A145,0),FALSE))</f>
        <v>15</v>
      </c>
      <c r="Y97" s="61"/>
      <c r="Z97" s="10" t="s">
        <v>144</v>
      </c>
      <c r="AA97" s="22">
        <f>IF(COUNT(AB97)=1,AB97,HLOOKUP('in-barn'!AA9,defaults!$A$142:$C$145,MATCH('out-of-barn'!Z97,defaults!$A142:$A145,0),FALSE))</f>
        <v>15</v>
      </c>
      <c r="AB97" s="61"/>
      <c r="AC97" s="10" t="s">
        <v>144</v>
      </c>
      <c r="AD97" s="22">
        <f>IF(COUNT(AE97)=1,AE97,HLOOKUP('in-barn'!AD9,defaults!$A$142:$C$145,MATCH('out-of-barn'!AC97,defaults!$A142:$A145,0),FALSE))</f>
        <v>15</v>
      </c>
      <c r="AE97" s="61"/>
    </row>
    <row r="101" spans="2:31" x14ac:dyDescent="0.25">
      <c r="B101" s="30"/>
    </row>
    <row r="102" spans="2:31" x14ac:dyDescent="0.25">
      <c r="B102" s="30"/>
    </row>
  </sheetData>
  <sheetProtection formatCells="0" formatColumns="0" formatRows="0" insertColumns="0" insertRows="0" insertHyperlinks="0" sort="0" autoFilter="0" pivotTables="0"/>
  <protectedRanges>
    <protectedRange password="CC6A" sqref="A1:XFD1" name="row1"/>
  </protectedRanges>
  <conditionalFormatting sqref="D8:D94">
    <cfRule type="expression" dxfId="39" priority="97">
      <formula>#REF!</formula>
    </cfRule>
  </conditionalFormatting>
  <conditionalFormatting sqref="D96:D97">
    <cfRule type="expression" dxfId="38" priority="43">
      <formula>#REF!</formula>
    </cfRule>
  </conditionalFormatting>
  <conditionalFormatting sqref="G8:G94">
    <cfRule type="expression" dxfId="37" priority="38">
      <formula>#REF!</formula>
    </cfRule>
  </conditionalFormatting>
  <conditionalFormatting sqref="G96:G97">
    <cfRule type="expression" dxfId="36" priority="37">
      <formula>#REF!</formula>
    </cfRule>
  </conditionalFormatting>
  <conditionalFormatting sqref="J8:J94">
    <cfRule type="expression" dxfId="35" priority="36">
      <formula>#REF!</formula>
    </cfRule>
  </conditionalFormatting>
  <conditionalFormatting sqref="J96:J97">
    <cfRule type="expression" dxfId="34" priority="35">
      <formula>#REF!</formula>
    </cfRule>
  </conditionalFormatting>
  <conditionalFormatting sqref="M8:M94">
    <cfRule type="expression" dxfId="33" priority="34">
      <formula>#REF!</formula>
    </cfRule>
  </conditionalFormatting>
  <conditionalFormatting sqref="M96:M97">
    <cfRule type="expression" dxfId="32" priority="33">
      <formula>#REF!</formula>
    </cfRule>
  </conditionalFormatting>
  <conditionalFormatting sqref="P8:P94">
    <cfRule type="expression" dxfId="31" priority="32">
      <formula>#REF!</formula>
    </cfRule>
  </conditionalFormatting>
  <conditionalFormatting sqref="P96:P97">
    <cfRule type="expression" dxfId="30" priority="31">
      <formula>#REF!</formula>
    </cfRule>
  </conditionalFormatting>
  <conditionalFormatting sqref="S8:S94">
    <cfRule type="expression" dxfId="29" priority="30">
      <formula>#REF!</formula>
    </cfRule>
  </conditionalFormatting>
  <conditionalFormatting sqref="S96:S97">
    <cfRule type="expression" dxfId="28" priority="29">
      <formula>#REF!</formula>
    </cfRule>
  </conditionalFormatting>
  <conditionalFormatting sqref="V8:V94">
    <cfRule type="expression" dxfId="27" priority="28">
      <formula>#REF!</formula>
    </cfRule>
  </conditionalFormatting>
  <conditionalFormatting sqref="V96:V97">
    <cfRule type="expression" dxfId="26" priority="27">
      <formula>#REF!</formula>
    </cfRule>
  </conditionalFormatting>
  <conditionalFormatting sqref="Y8:Y94">
    <cfRule type="expression" dxfId="25" priority="26">
      <formula>#REF!</formula>
    </cfRule>
  </conditionalFormatting>
  <conditionalFormatting sqref="Y96:Y97">
    <cfRule type="expression" dxfId="24" priority="25">
      <formula>#REF!</formula>
    </cfRule>
  </conditionalFormatting>
  <conditionalFormatting sqref="AB8:AB94">
    <cfRule type="expression" dxfId="23" priority="24">
      <formula>#REF!</formula>
    </cfRule>
  </conditionalFormatting>
  <conditionalFormatting sqref="AB96:AB97">
    <cfRule type="expression" dxfId="22" priority="23">
      <formula>#REF!</formula>
    </cfRule>
  </conditionalFormatting>
  <conditionalFormatting sqref="AE8:AE94">
    <cfRule type="expression" dxfId="21" priority="22">
      <formula>#REF!</formula>
    </cfRule>
  </conditionalFormatting>
  <conditionalFormatting sqref="AE96:AE97">
    <cfRule type="expression" dxfId="20" priority="21">
      <formula>#REF!</formula>
    </cfRule>
  </conditionalFormatting>
  <conditionalFormatting sqref="C8">
    <cfRule type="expression" dxfId="19" priority="20">
      <formula>$C$8="deactive"</formula>
    </cfRule>
  </conditionalFormatting>
  <conditionalFormatting sqref="F8">
    <cfRule type="expression" dxfId="18" priority="19">
      <formula>$C$8="deactive"</formula>
    </cfRule>
  </conditionalFormatting>
  <conditionalFormatting sqref="I8">
    <cfRule type="expression" dxfId="17" priority="18">
      <formula>$C$8="deactive"</formula>
    </cfRule>
  </conditionalFormatting>
  <conditionalFormatting sqref="L8">
    <cfRule type="expression" dxfId="16" priority="17">
      <formula>$C$8="deactive"</formula>
    </cfRule>
  </conditionalFormatting>
  <conditionalFormatting sqref="O8">
    <cfRule type="expression" dxfId="15" priority="16">
      <formula>$C$8="deactive"</formula>
    </cfRule>
  </conditionalFormatting>
  <conditionalFormatting sqref="R8">
    <cfRule type="expression" dxfId="14" priority="15">
      <formula>$C$8="deactive"</formula>
    </cfRule>
  </conditionalFormatting>
  <conditionalFormatting sqref="U8">
    <cfRule type="expression" dxfId="13" priority="14">
      <formula>$C$8="deactive"</formula>
    </cfRule>
  </conditionalFormatting>
  <conditionalFormatting sqref="X8">
    <cfRule type="expression" dxfId="12" priority="13">
      <formula>$C$8="deactive"</formula>
    </cfRule>
  </conditionalFormatting>
  <conditionalFormatting sqref="AA8">
    <cfRule type="expression" dxfId="11" priority="12">
      <formula>$C$8="deactive"</formula>
    </cfRule>
  </conditionalFormatting>
  <conditionalFormatting sqref="AD8">
    <cfRule type="expression" dxfId="10" priority="11">
      <formula>$C$8="deactive"</formula>
    </cfRule>
  </conditionalFormatting>
  <conditionalFormatting sqref="B1:D1048576">
    <cfRule type="expression" dxfId="9" priority="10">
      <formula>$C$8="deactive"</formula>
    </cfRule>
  </conditionalFormatting>
  <conditionalFormatting sqref="E1:G1048576">
    <cfRule type="expression" dxfId="8" priority="9">
      <formula>$F$8="deactive"</formula>
    </cfRule>
  </conditionalFormatting>
  <conditionalFormatting sqref="H1:J1048576">
    <cfRule type="expression" dxfId="7" priority="8">
      <formula>$I$8="deactive"</formula>
    </cfRule>
  </conditionalFormatting>
  <conditionalFormatting sqref="K1:M1048576">
    <cfRule type="expression" dxfId="6" priority="7">
      <formula>$L$8="deactive"</formula>
    </cfRule>
  </conditionalFormatting>
  <conditionalFormatting sqref="N1:P1048576">
    <cfRule type="expression" dxfId="5" priority="6">
      <formula>$O$8="deactive"</formula>
    </cfRule>
  </conditionalFormatting>
  <conditionalFormatting sqref="Q1:S1048576">
    <cfRule type="expression" dxfId="4" priority="5">
      <formula>$R$8="deactive"</formula>
    </cfRule>
  </conditionalFormatting>
  <conditionalFormatting sqref="T1:V1048576">
    <cfRule type="expression" dxfId="3" priority="4">
      <formula>$U$8="deactive"</formula>
    </cfRule>
  </conditionalFormatting>
  <conditionalFormatting sqref="W1:Y1048576">
    <cfRule type="expression" dxfId="2" priority="3">
      <formula>$X$8="deactive"</formula>
    </cfRule>
  </conditionalFormatting>
  <conditionalFormatting sqref="Z1:AB1048576">
    <cfRule type="expression" dxfId="1" priority="2">
      <formula>$AA$8="deactive"</formula>
    </cfRule>
  </conditionalFormatting>
  <conditionalFormatting sqref="AC1:AE1048576">
    <cfRule type="expression" dxfId="0" priority="1">
      <formula>$AD$8="deactive"</formula>
    </cfRule>
  </conditionalFormatting>
  <dataValidations count="12">
    <dataValidation type="decimal" allowBlank="1" showInputMessage="1" showErrorMessage="1" promptTitle="kg H2SO4 / m3 slurry" sqref="C22 C35 C30 C39 C59 C41 C43 C45 C47 C49 C53 C51 C55 C57 C61 C67 C85 C87 C69 C71 C73 C75 C79 C77 C81 C83 C89 F22 F35 F30 F39 F59 F41 F43 F45 F47 F49 F53 F51 F55 F57 F61 F67 F85 F87 F69 F71 F73 F75 F79 F77 F81 F83 F89 I22 I35 I30 I39 I59 I41 I43 I45 I47 I49 I53 I51 I55 I57 I61 I67 I85 I87 I69 I71 I73 I75 I79 I77 I81 I83 I89 L22 L35 L30 L39 L59 L41 L43 L45 L47 L49 L53 L51 L55 L57 L61 L67 L85 L87 L69 L71 L73 L75 L79 L77 L81 L83 L89 O22 O35 O30 O39 O59 O41 O43 O45 O47 O49 O53 O51 O55 O57 O61 O67 O85 O87 O69 O71 O73 O75 O79 O77 O81 O83 O89 R22 R35 R30 R39 R59 R41 R43 R45 R47 R49 R53 R51 R55 R57 R61 R67 R85 R87 R69 R71 R73 R75 R79 R77 R81 R83 R89 U22 U35 U30 U39 U59 U41 U43 U45 U47 U49 U53 U51 U55 U57 U61 U67 U85 U87 U69 U71 U73 U75 U79 U77 U81 U83 U89 X22 X35 X30 X39 X59 X41 X43 X45 X47 X49 X53 X51 X55 X57 X61 X67 X85 X87 X69 X71 X73 X75 X79 X77 X81 X83 X89 AA22 AA35 AA30 AA39 AA59 AA41 AA43 AA45 AA47 AA49 AA53 AA51 AA55 AA57 AA61 AA67 AA85 AA87 AA69 AA71 AA73 AA75 AA79 AA77 AA81 AA83 AA89 AD22 AD35 AD30 AD39 AD59 AD41 AD43 AD45 AD47 AD49 AD53 AD51 AD55 AD57 AD61 AD67 AD85 AD87 AD69 AD71 AD73 AD75 AD79 AD77 AD81 AD83 AD89" xr:uid="{00000000-0002-0000-0500-000000000000}">
      <formula1>0</formula1>
      <formula2>15</formula2>
    </dataValidation>
    <dataValidation allowBlank="1" showInputMessage="1" showErrorMessage="1" promptTitle="kg H2SO4 / m3 slurry" sqref="C24 C26:C27 C32 C34 C62 C90 F24 F26:F27 F32 F34 F62 F90 I24 I26:I27 I32 I34 I62 I90 L24 L26:L27 L32 L34 L62 L90 O24 O26:O27 O32 O34 O62 O90 R24 R26:R27 R32 R34 R62 R90 U24 U26:U27 U32 U34 U62 U90 X24 X26:X27 X32 X34 X62 X90 AA24 AA26:AA27 AA32 AA34 AA62 AA90 AD24 AD26:AD27 AD32 AD34 AD62 AD90" xr:uid="{00000000-0002-0000-0500-000002000000}"/>
    <dataValidation type="decimal" allowBlank="1" showInputMessage="1" showErrorMessage="1" promptTitle="COD removal in biogas %" sqref="C96:D96 F96:G96 I96:J96 L96:M96 O96:P96 R96:S96 U96:V96 X96:Y96 AA96:AB96 AD96:AE96" xr:uid="{00000000-0002-0000-0500-000003000000}">
      <formula1>0</formula1>
      <formula2>100</formula2>
    </dataValidation>
    <dataValidation allowBlank="1" showInputMessage="1" showErrorMessage="1" promptTitle="COD removal in biogas %" sqref="C97 F97 I97 L97 O97 R97 U97 X97 AA97 AD97" xr:uid="{00000000-0002-0000-0500-000004000000}"/>
    <dataValidation allowBlank="1" showInputMessage="1" showErrorMessage="1" promptTitle="Acidification technology" prompt="Select type of acidification. If slurry acidification is not applied select &quot;none&quot;" sqref="C21 C23 C25 C28:C29 C31 C33 F21 F23 F25 F28:F29 F31 F33 I21 I23 I25 I28:I29 I31 I33 L21 L23 L25 L28:L29 L31 L33 O21 O23 O25 O28:O29 O31 O33 R21 R23 R25 R28:R29 R31 R33 U21 U23 U25 U28:U29 U31 U33 X21 X23 X25 X28:X29 X31 X33 AA21 AA23 AA25 AA28:AA29 AA31 AA33 AD21 AD23 AD25 AD28:AD29 AD31 AD33" xr:uid="{00000000-0002-0000-0500-000005000000}"/>
    <dataValidation type="decimal" allowBlank="1" showInputMessage="1" showErrorMessage="1" sqref="D22 D30 G22 G30 J22 J30 M22 M30 P22 P30 S22 S30 V22 V30 Y22 Y30 AB22 AB30 AE22 AE30" xr:uid="{EF82E2F3-0F6A-4181-9221-F5A5707271EE}">
      <formula1>0</formula1>
      <formula2>20</formula2>
    </dataValidation>
    <dataValidation type="decimal" allowBlank="1" showInputMessage="1" showErrorMessage="1" sqref="D24 D32 G24 G32 J24 J32 M24 M32 P24 P32 S24 S32 V24 V32 Y24 Y32 AB24 AB32 AE24 AE32" xr:uid="{84177CBB-28C5-421C-98BD-F0FDEA903FF6}">
      <formula1>0</formula1>
      <formula2>100</formula2>
    </dataValidation>
    <dataValidation type="whole" allowBlank="1" showInputMessage="1" showErrorMessage="1" sqref="D26 D45 D43 D41 D39 D47 D49 D51 D53 D55 D57 D59 D61 D73 D71 D69 D67 D75 D77 D79 D81 D83 D85 D87 D89 G26 G45 G43 G41 G39 G47 G49 G51 G53 G55 G57 G59 G61 G73 G71 G69 G67 G75 G77 G79 G81 G83 G85 G87 G89 J26 J45 J43 J41 J39 J47 J49 J51 J53 J55 J57 J59 J61 J73 J71 J69 J67 J75 J77 J79 J81 J83 J85 J87 J89 M26 M45 M43 M41 M39 M47 M49 M51 M53 M55 M57 M59 M61 M73 M71 M69 M67 M75 M77 M79 M81 M83 M85 M87 M89 P26 P45 P43 P41 P39 P47 P49 P51 P53 P55 P57 P59 P61 P73 P71 P69 P67 P75 P77 P79 P81 P83 P85 P87 P89 S26 S45 S43 S41 S39 S47 S49 S51 S53 S55 S57 S59 S61 S73 S71 S69 S67 S75 S77 S79 S81 S83 S85 S87 S89 V26 V45 V43 V41 V39 V47 V49 V51 V53 V55 V57 V59 V61 V73 V71 V69 V67 V75 V77 V79 V81 V83 V85 V87 V89 Y26 Y45 Y43 Y41 Y39 Y47 Y49 Y51 Y53 Y55 Y57 Y59 Y61 Y73 Y71 Y69 Y67 Y75 Y77 Y79 Y81 Y83 Y85 Y87 Y89 AB26 AB45 AB43 AB41 AB39 AB47 AB49 AB51 AB53 AB55 AB57 AB59 AB61 AB73 AB71 AB69 AB67 AB75 AB77 AB79 AB81 AB83 AB85 AB87 AB89 AE26 AE45 AE43 AE41 AE39 AE47 AE49 AE51 AE53 AE55 AE57 AE59 AE61 AE73 AE71 AE69 AE67 AE75 AE77 AE79 AE81 AE83 AE85 AE87 AE89" xr:uid="{2520B0C4-5CB4-46A0-B85F-94D6BA47C423}">
      <formula1>0</formula1>
      <formula2>100</formula2>
    </dataValidation>
    <dataValidation type="whole" allowBlank="1" showInputMessage="1" showErrorMessage="1" sqref="D93 G93 J93 M93 P93 S93 V93 Y93 AB93 AE93" xr:uid="{91EC705C-BF7E-4E08-9851-4C86B4A20730}">
      <formula1>0</formula1>
      <formula2>5</formula2>
    </dataValidation>
    <dataValidation type="whole" allowBlank="1" showInputMessage="1" showErrorMessage="1" sqref="D94 G94 J94 M94 P94 S94 V94 Y94 AB94 AE94" xr:uid="{8688A58C-023F-482C-A5E5-650F384E1781}">
      <formula1>0</formula1>
      <formula2>40</formula2>
    </dataValidation>
    <dataValidation type="whole" allowBlank="1" showInputMessage="1" showErrorMessage="1" sqref="D97 G97 J97 M97 P97 S97 V97 Y97 AB97 AE97" xr:uid="{60D2FBDB-63B7-467A-8080-89D4A83F639A}">
      <formula1>30</formula1>
      <formula2>70</formula2>
    </dataValidation>
    <dataValidation type="whole" allowBlank="1" showInputMessage="1" showErrorMessage="1" sqref="A7" xr:uid="{C42DC147-2843-49C3-9499-6C41402340BA}">
      <formula1>1</formula1>
      <formula2>10</formula2>
    </dataValidation>
  </dataValidations>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500-000008000000}">
          <x14:formula1>
            <xm:f>parms_list!$I$2:$I$4</xm:f>
          </x14:formula1>
          <xm:sqref>D20 D28 G20 G28 J20 J28 M20 M28 P20 P28 S20 S28 V20 V28 Y20 Y28 AB20 AB28 AE20 AE28</xm:sqref>
        </x14:dataValidation>
        <x14:dataValidation type="list" allowBlank="1" showInputMessage="1" showErrorMessage="1" xr:uid="{1F2904A2-E4EE-46A8-8183-4A04A9BA6BA3}">
          <x14:formula1>
            <xm:f>parms_list!$G$2:$G$3</xm:f>
          </x14:formula1>
          <xm:sqref>D21 D29 G21 G29 J21 J29 M21 M29 P21 P29 S21 S29 V21 V29 Y21 Y29 AB21 AB29 AE21 AE29</xm:sqref>
        </x14:dataValidation>
        <x14:dataValidation type="list" allowBlank="1" showInputMessage="1" showErrorMessage="1" xr:uid="{8FDF1982-01F2-43A6-AC52-CC5DF61131C1}">
          <x14:formula1>
            <xm:f>parms_list!$O$2:$O$3</xm:f>
          </x14:formula1>
          <xm:sqref>D23 D31 G23 G31 J23 J31 M23 M31 P23 P31 S23 S31 V23 V31 Y23 Y31 AB23 AB31 AE23 AE31</xm:sqref>
        </x14:dataValidation>
        <x14:dataValidation type="list" allowBlank="1" showInputMessage="1" showErrorMessage="1" xr:uid="{C97E945B-B92B-4CFE-A0B4-91A5E126A975}">
          <x14:formula1>
            <xm:f>parms_list!$P$2:$P$3</xm:f>
          </x14:formula1>
          <xm:sqref>D25 D33 G25 G33 J25 J33 M25 M33 P25 P33 S25 S33 V25 V33 Y25 Y33 AB25 AB33 AE25 AE33</xm:sqref>
        </x14:dataValidation>
        <x14:dataValidation type="list" allowBlank="1" showInputMessage="1" showErrorMessage="1" xr:uid="{865DAE90-3D26-41D0-9DC4-9701D8B61BFF}">
          <x14:formula1>
            <xm:f>parms_list!$A$2:$A$3</xm:f>
          </x14:formula1>
          <xm:sqref>AE65 AE37 G37 G65 J37 J65 M37 M65 P37 P65 S37 S65 V37 V65 Y37 Y65 AB37 AB65</xm:sqref>
        </x14:dataValidation>
        <x14:dataValidation type="list" allowBlank="1" showInputMessage="1" showErrorMessage="1" xr:uid="{797E3F6F-882D-4286-BE59-48143E74DE88}">
          <x14:formula1>
            <xm:f>parms_list!$A$2:$A$5</xm:f>
          </x14:formula1>
          <xm:sqref>D37 D65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9"/>
  <dimension ref="A1:H15"/>
  <sheetViews>
    <sheetView workbookViewId="0">
      <selection activeCell="I27" sqref="I27"/>
    </sheetView>
  </sheetViews>
  <sheetFormatPr defaultColWidth="11.5703125" defaultRowHeight="15" x14ac:dyDescent="0.25"/>
  <cols>
    <col min="1" max="1" width="12.85546875" bestFit="1" customWidth="1"/>
    <col min="2" max="2" width="6.85546875" bestFit="1" customWidth="1"/>
    <col min="3" max="3" width="4.140625" bestFit="1" customWidth="1"/>
    <col min="4" max="4" width="11.42578125" bestFit="1" customWidth="1"/>
    <col min="5" max="5" width="14.140625" bestFit="1" customWidth="1"/>
    <col min="6" max="6" width="15.85546875" bestFit="1" customWidth="1"/>
    <col min="7" max="7" width="16.42578125" bestFit="1" customWidth="1"/>
    <col min="8" max="8" width="19.85546875" bestFit="1" customWidth="1"/>
  </cols>
  <sheetData>
    <row r="1" spans="1:8" x14ac:dyDescent="0.25">
      <c r="A1" s="41" t="s">
        <v>268</v>
      </c>
      <c r="B1" s="41" t="s">
        <v>269</v>
      </c>
      <c r="C1" s="41" t="s">
        <v>270</v>
      </c>
      <c r="D1" s="41" t="s">
        <v>271</v>
      </c>
      <c r="E1" s="41" t="s">
        <v>272</v>
      </c>
      <c r="F1" s="41" t="s">
        <v>273</v>
      </c>
      <c r="G1" s="41" t="s">
        <v>274</v>
      </c>
      <c r="H1" s="41" t="s">
        <v>275</v>
      </c>
    </row>
    <row r="2" spans="1:8" x14ac:dyDescent="0.25">
      <c r="A2" t="s">
        <v>276</v>
      </c>
      <c r="C2">
        <v>0</v>
      </c>
      <c r="D2">
        <v>2.67</v>
      </c>
      <c r="E2">
        <v>6.55</v>
      </c>
      <c r="F2">
        <v>8.23</v>
      </c>
      <c r="G2">
        <v>7.7</v>
      </c>
      <c r="H2">
        <v>18.75</v>
      </c>
    </row>
    <row r="3" spans="1:8" x14ac:dyDescent="0.25">
      <c r="A3" t="s">
        <v>277</v>
      </c>
      <c r="B3">
        <v>1</v>
      </c>
      <c r="C3">
        <v>15</v>
      </c>
      <c r="D3">
        <v>1.97</v>
      </c>
      <c r="E3">
        <v>6.2</v>
      </c>
      <c r="F3">
        <v>7.71</v>
      </c>
      <c r="G3">
        <v>7.4</v>
      </c>
      <c r="H3">
        <v>18</v>
      </c>
    </row>
    <row r="4" spans="1:8" x14ac:dyDescent="0.25">
      <c r="A4" t="s">
        <v>278</v>
      </c>
      <c r="B4">
        <v>2</v>
      </c>
      <c r="C4">
        <v>46</v>
      </c>
      <c r="D4">
        <v>1.72</v>
      </c>
      <c r="E4">
        <v>6.07</v>
      </c>
      <c r="F4">
        <v>7.52</v>
      </c>
      <c r="G4">
        <v>7.2</v>
      </c>
      <c r="H4">
        <v>16.5</v>
      </c>
    </row>
    <row r="5" spans="1:8" x14ac:dyDescent="0.25">
      <c r="A5" t="s">
        <v>279</v>
      </c>
      <c r="B5">
        <v>3</v>
      </c>
      <c r="C5">
        <v>76</v>
      </c>
      <c r="D5">
        <v>3.59</v>
      </c>
      <c r="E5">
        <v>7.02</v>
      </c>
      <c r="F5">
        <v>8.92</v>
      </c>
      <c r="G5">
        <v>8.6</v>
      </c>
      <c r="H5">
        <v>12.75</v>
      </c>
    </row>
    <row r="6" spans="1:8" x14ac:dyDescent="0.25">
      <c r="A6" t="s">
        <v>150</v>
      </c>
      <c r="B6">
        <v>4</v>
      </c>
      <c r="C6">
        <v>107</v>
      </c>
      <c r="D6">
        <v>7.2</v>
      </c>
      <c r="E6">
        <v>8.8699999999999992</v>
      </c>
      <c r="F6">
        <v>11.63</v>
      </c>
      <c r="G6">
        <v>11.9</v>
      </c>
      <c r="H6">
        <v>9</v>
      </c>
    </row>
    <row r="7" spans="1:8" x14ac:dyDescent="0.25">
      <c r="A7" t="s">
        <v>280</v>
      </c>
      <c r="B7">
        <v>5</v>
      </c>
      <c r="C7">
        <v>137</v>
      </c>
      <c r="D7">
        <v>11</v>
      </c>
      <c r="E7">
        <v>10.8</v>
      </c>
      <c r="F7">
        <v>14.51</v>
      </c>
      <c r="G7">
        <v>14.9</v>
      </c>
      <c r="H7">
        <v>11</v>
      </c>
    </row>
    <row r="8" spans="1:8" x14ac:dyDescent="0.25">
      <c r="A8" t="s">
        <v>281</v>
      </c>
      <c r="B8">
        <v>6</v>
      </c>
      <c r="C8">
        <v>168</v>
      </c>
      <c r="D8">
        <v>15</v>
      </c>
      <c r="E8">
        <v>12.8</v>
      </c>
      <c r="F8">
        <v>17.46</v>
      </c>
      <c r="G8">
        <v>17.3</v>
      </c>
      <c r="H8">
        <v>18</v>
      </c>
    </row>
    <row r="9" spans="1:8" x14ac:dyDescent="0.25">
      <c r="A9" t="s">
        <v>282</v>
      </c>
      <c r="B9">
        <v>7</v>
      </c>
      <c r="C9">
        <v>198</v>
      </c>
      <c r="D9">
        <v>16.7</v>
      </c>
      <c r="E9">
        <v>13.7</v>
      </c>
      <c r="F9">
        <v>18.75</v>
      </c>
      <c r="G9">
        <v>19.399999999999999</v>
      </c>
      <c r="H9">
        <v>23</v>
      </c>
    </row>
    <row r="10" spans="1:8" x14ac:dyDescent="0.25">
      <c r="A10" t="s">
        <v>154</v>
      </c>
      <c r="B10">
        <v>8</v>
      </c>
      <c r="C10">
        <v>229</v>
      </c>
      <c r="D10">
        <v>16.7</v>
      </c>
      <c r="E10">
        <v>13.7</v>
      </c>
      <c r="F10">
        <v>18.78</v>
      </c>
      <c r="G10">
        <v>19.2</v>
      </c>
      <c r="H10">
        <v>27.5</v>
      </c>
    </row>
    <row r="11" spans="1:8" x14ac:dyDescent="0.25">
      <c r="A11" t="s">
        <v>155</v>
      </c>
      <c r="B11">
        <v>9</v>
      </c>
      <c r="C11">
        <v>259</v>
      </c>
      <c r="D11">
        <v>13.8</v>
      </c>
      <c r="E11">
        <v>12.2</v>
      </c>
      <c r="F11">
        <v>16.57</v>
      </c>
      <c r="G11">
        <v>16.7</v>
      </c>
      <c r="H11">
        <v>20</v>
      </c>
    </row>
    <row r="12" spans="1:8" x14ac:dyDescent="0.25">
      <c r="A12" t="s">
        <v>283</v>
      </c>
      <c r="B12">
        <v>10</v>
      </c>
      <c r="C12">
        <v>290</v>
      </c>
      <c r="D12">
        <v>9.8699999999999992</v>
      </c>
      <c r="E12">
        <v>10.199999999999999</v>
      </c>
      <c r="F12">
        <v>13.63</v>
      </c>
      <c r="G12">
        <v>13.4</v>
      </c>
      <c r="H12">
        <v>18.670000000000002</v>
      </c>
    </row>
    <row r="13" spans="1:8" x14ac:dyDescent="0.25">
      <c r="A13" t="s">
        <v>157</v>
      </c>
      <c r="B13">
        <v>11</v>
      </c>
      <c r="C13">
        <v>320</v>
      </c>
      <c r="D13">
        <v>6.38</v>
      </c>
      <c r="E13">
        <v>8.4499999999999993</v>
      </c>
      <c r="F13">
        <v>11.01</v>
      </c>
      <c r="G13">
        <v>10.6</v>
      </c>
      <c r="H13">
        <v>17</v>
      </c>
    </row>
    <row r="14" spans="1:8" x14ac:dyDescent="0.25">
      <c r="A14" t="s">
        <v>158</v>
      </c>
      <c r="B14">
        <v>12</v>
      </c>
      <c r="C14">
        <v>351</v>
      </c>
      <c r="D14">
        <v>3.37</v>
      </c>
      <c r="E14">
        <v>6.91</v>
      </c>
      <c r="F14">
        <v>8.76</v>
      </c>
      <c r="G14">
        <v>8</v>
      </c>
      <c r="H14">
        <v>19.5</v>
      </c>
    </row>
    <row r="15" spans="1:8" x14ac:dyDescent="0.25">
      <c r="A15" t="s">
        <v>284</v>
      </c>
      <c r="B15">
        <v>0.5</v>
      </c>
      <c r="C15">
        <v>365</v>
      </c>
      <c r="D15">
        <v>2.67</v>
      </c>
      <c r="E15">
        <v>6.55</v>
      </c>
      <c r="F15">
        <v>8.23</v>
      </c>
      <c r="G15">
        <v>7.7</v>
      </c>
      <c r="H15">
        <v>18.75</v>
      </c>
    </row>
  </sheetData>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dimension ref="A1:Q480"/>
  <sheetViews>
    <sheetView topLeftCell="C2" zoomScale="70" zoomScaleNormal="70" workbookViewId="0">
      <selection activeCell="B6" sqref="B6:B7"/>
    </sheetView>
  </sheetViews>
  <sheetFormatPr defaultColWidth="11.5703125" defaultRowHeight="14.25" x14ac:dyDescent="0.2"/>
  <cols>
    <col min="1" max="1" width="13.5703125" style="9" bestFit="1" customWidth="1"/>
    <col min="2" max="2" width="38.28515625" style="9" bestFit="1" customWidth="1"/>
    <col min="3" max="3" width="11.7109375" style="9" bestFit="1" customWidth="1"/>
    <col min="4" max="4" width="52.85546875" style="9" bestFit="1" customWidth="1"/>
    <col min="5" max="5" width="16.85546875" style="9" bestFit="1" customWidth="1"/>
    <col min="6" max="6" width="18.85546875" style="9" bestFit="1" customWidth="1"/>
    <col min="7" max="7" width="32" style="9" bestFit="1" customWidth="1"/>
    <col min="8" max="8" width="14.42578125" style="9" bestFit="1" customWidth="1"/>
    <col min="9" max="9" width="24.28515625" style="9" bestFit="1" customWidth="1"/>
    <col min="10" max="10" width="26.42578125" style="9" bestFit="1" customWidth="1"/>
    <col min="11" max="11" width="36.7109375" style="9" bestFit="1" customWidth="1"/>
    <col min="12" max="12" width="59.7109375" style="9" bestFit="1" customWidth="1"/>
    <col min="13" max="13" width="25.28515625" style="9" bestFit="1" customWidth="1"/>
    <col min="14" max="14" width="7.7109375" style="9" bestFit="1" customWidth="1"/>
    <col min="15" max="15" width="21" style="9" bestFit="1" customWidth="1"/>
    <col min="16" max="16" width="7.140625" style="9" bestFit="1" customWidth="1"/>
    <col min="17" max="17" width="21.42578125" style="9" bestFit="1" customWidth="1"/>
    <col min="18" max="16384" width="11.5703125" style="9"/>
  </cols>
  <sheetData>
    <row r="1" spans="1:17" ht="15" x14ac:dyDescent="0.25">
      <c r="A1" s="8" t="s">
        <v>285</v>
      </c>
      <c r="B1" s="8" t="s">
        <v>286</v>
      </c>
      <c r="C1" s="8" t="s">
        <v>269</v>
      </c>
      <c r="D1" s="8" t="s">
        <v>287</v>
      </c>
      <c r="E1" s="8" t="s">
        <v>288</v>
      </c>
      <c r="F1" s="8" t="s">
        <v>289</v>
      </c>
      <c r="G1" s="8" t="s">
        <v>180</v>
      </c>
      <c r="H1" s="8" t="s">
        <v>290</v>
      </c>
      <c r="I1" s="8" t="s">
        <v>291</v>
      </c>
      <c r="J1" s="8" t="s">
        <v>292</v>
      </c>
      <c r="K1" s="8" t="s">
        <v>293</v>
      </c>
      <c r="L1" s="8" t="s">
        <v>294</v>
      </c>
      <c r="M1" s="8" t="s">
        <v>295</v>
      </c>
      <c r="N1" s="8" t="s">
        <v>187</v>
      </c>
      <c r="O1" s="8" t="s">
        <v>296</v>
      </c>
      <c r="P1" s="8" t="s">
        <v>297</v>
      </c>
      <c r="Q1" s="8" t="s">
        <v>298</v>
      </c>
    </row>
    <row r="2" spans="1:17" x14ac:dyDescent="0.2">
      <c r="A2" s="9" t="s">
        <v>126</v>
      </c>
      <c r="B2" s="9" t="s">
        <v>53</v>
      </c>
      <c r="C2" s="9" t="s">
        <v>147</v>
      </c>
      <c r="D2" s="9" t="s">
        <v>8</v>
      </c>
      <c r="E2" s="9" t="s">
        <v>1</v>
      </c>
      <c r="F2" s="9" t="s">
        <v>36</v>
      </c>
      <c r="G2" s="9" t="s">
        <v>181</v>
      </c>
      <c r="H2" s="9" t="s">
        <v>166</v>
      </c>
      <c r="I2" s="7" t="s">
        <v>181</v>
      </c>
      <c r="J2" s="9" t="s">
        <v>166</v>
      </c>
      <c r="K2" s="9" t="s">
        <v>299</v>
      </c>
      <c r="L2" s="9" t="s">
        <v>300</v>
      </c>
      <c r="N2" s="9" t="s">
        <v>181</v>
      </c>
      <c r="O2" s="9" t="s">
        <v>166</v>
      </c>
      <c r="P2" s="9" t="s">
        <v>166</v>
      </c>
      <c r="Q2" s="9" t="s">
        <v>166</v>
      </c>
    </row>
    <row r="3" spans="1:17" x14ac:dyDescent="0.2">
      <c r="A3" s="9" t="s">
        <v>127</v>
      </c>
      <c r="B3" s="9" t="s">
        <v>54</v>
      </c>
      <c r="C3" s="9" t="s">
        <v>148</v>
      </c>
      <c r="D3" s="9" t="s">
        <v>9</v>
      </c>
      <c r="E3" s="9" t="s">
        <v>2</v>
      </c>
      <c r="F3" s="9" t="s">
        <v>37</v>
      </c>
      <c r="G3" s="9" t="s">
        <v>301</v>
      </c>
      <c r="H3" s="9" t="s">
        <v>181</v>
      </c>
      <c r="I3" s="7" t="s">
        <v>201</v>
      </c>
      <c r="J3" s="9" t="s">
        <v>181</v>
      </c>
      <c r="K3" s="9" t="s">
        <v>111</v>
      </c>
      <c r="L3" s="9" t="s">
        <v>302</v>
      </c>
      <c r="N3" s="9" t="s">
        <v>166</v>
      </c>
      <c r="O3" s="9" t="s">
        <v>181</v>
      </c>
      <c r="P3" s="9" t="s">
        <v>181</v>
      </c>
      <c r="Q3" s="9" t="s">
        <v>181</v>
      </c>
    </row>
    <row r="4" spans="1:17" x14ac:dyDescent="0.2">
      <c r="A4" s="9" t="s">
        <v>128</v>
      </c>
      <c r="B4" s="9" t="s">
        <v>55</v>
      </c>
      <c r="C4" s="9" t="s">
        <v>149</v>
      </c>
      <c r="D4" s="9" t="s">
        <v>10</v>
      </c>
      <c r="E4" s="9" t="s">
        <v>3</v>
      </c>
      <c r="G4" s="9" t="s">
        <v>303</v>
      </c>
      <c r="I4" s="7" t="s">
        <v>304</v>
      </c>
      <c r="K4" s="9" t="s">
        <v>175</v>
      </c>
      <c r="L4" s="9" t="s">
        <v>305</v>
      </c>
    </row>
    <row r="5" spans="1:17" x14ac:dyDescent="0.2">
      <c r="B5" s="9" t="s">
        <v>56</v>
      </c>
      <c r="C5" s="9" t="s">
        <v>150</v>
      </c>
      <c r="D5" s="9" t="s">
        <v>11</v>
      </c>
      <c r="E5" s="9" t="s">
        <v>4</v>
      </c>
      <c r="I5" s="7" t="s">
        <v>306</v>
      </c>
      <c r="K5" s="9" t="s">
        <v>123</v>
      </c>
      <c r="L5" s="9" t="s">
        <v>307</v>
      </c>
    </row>
    <row r="6" spans="1:17" x14ac:dyDescent="0.2">
      <c r="C6" s="9" t="s">
        <v>151</v>
      </c>
      <c r="D6" s="9" t="s">
        <v>12</v>
      </c>
      <c r="E6" s="9" t="s">
        <v>308</v>
      </c>
      <c r="I6" s="7" t="s">
        <v>309</v>
      </c>
      <c r="K6" s="9" t="s">
        <v>310</v>
      </c>
      <c r="L6" s="9" t="s">
        <v>311</v>
      </c>
    </row>
    <row r="7" spans="1:17" x14ac:dyDescent="0.2">
      <c r="C7" s="9" t="s">
        <v>152</v>
      </c>
      <c r="D7" s="9" t="s">
        <v>13</v>
      </c>
      <c r="I7" s="7" t="s">
        <v>312</v>
      </c>
      <c r="K7" s="9" t="s">
        <v>122</v>
      </c>
      <c r="L7" s="9" t="s">
        <v>313</v>
      </c>
    </row>
    <row r="8" spans="1:17" x14ac:dyDescent="0.2">
      <c r="C8" s="9" t="s">
        <v>153</v>
      </c>
      <c r="D8" s="9" t="s">
        <v>14</v>
      </c>
      <c r="I8" s="7" t="s">
        <v>314</v>
      </c>
      <c r="K8" s="9" t="s">
        <v>315</v>
      </c>
      <c r="L8" s="9" t="s">
        <v>316</v>
      </c>
    </row>
    <row r="9" spans="1:17" x14ac:dyDescent="0.2">
      <c r="B9" s="9" t="s">
        <v>59</v>
      </c>
      <c r="C9" s="9" t="s">
        <v>154</v>
      </c>
      <c r="D9" s="9" t="s">
        <v>15</v>
      </c>
      <c r="I9" s="7" t="s">
        <v>317</v>
      </c>
      <c r="K9" s="9" t="s">
        <v>318</v>
      </c>
      <c r="L9" s="9" t="s">
        <v>319</v>
      </c>
    </row>
    <row r="10" spans="1:17" x14ac:dyDescent="0.2">
      <c r="B10" s="9" t="s">
        <v>60</v>
      </c>
      <c r="C10" s="9" t="s">
        <v>155</v>
      </c>
      <c r="D10" s="9" t="s">
        <v>16</v>
      </c>
      <c r="I10" s="7" t="s">
        <v>320</v>
      </c>
      <c r="K10" s="9" t="s">
        <v>321</v>
      </c>
      <c r="L10" s="9" t="s">
        <v>322</v>
      </c>
    </row>
    <row r="11" spans="1:17" x14ac:dyDescent="0.2">
      <c r="B11" s="9" t="s">
        <v>69</v>
      </c>
      <c r="C11" s="9" t="s">
        <v>156</v>
      </c>
      <c r="D11" s="9" t="s">
        <v>17</v>
      </c>
      <c r="I11" s="7" t="s">
        <v>323</v>
      </c>
      <c r="K11" s="9" t="s">
        <v>176</v>
      </c>
      <c r="L11" s="9" t="s">
        <v>324</v>
      </c>
    </row>
    <row r="12" spans="1:17" x14ac:dyDescent="0.2">
      <c r="B12" s="9" t="s">
        <v>70</v>
      </c>
      <c r="C12" s="9" t="s">
        <v>157</v>
      </c>
      <c r="D12" s="9" t="s">
        <v>18</v>
      </c>
      <c r="I12" s="7" t="s">
        <v>325</v>
      </c>
      <c r="K12" s="9" t="s">
        <v>326</v>
      </c>
      <c r="L12" s="9" t="s">
        <v>327</v>
      </c>
    </row>
    <row r="13" spans="1:17" x14ac:dyDescent="0.2">
      <c r="B13" s="9" t="s">
        <v>71</v>
      </c>
      <c r="C13" s="9" t="s">
        <v>158</v>
      </c>
      <c r="D13" s="9" t="s">
        <v>19</v>
      </c>
      <c r="I13" s="7" t="s">
        <v>328</v>
      </c>
      <c r="K13" s="9" t="s">
        <v>329</v>
      </c>
      <c r="L13" s="9" t="s">
        <v>330</v>
      </c>
    </row>
    <row r="14" spans="1:17" x14ac:dyDescent="0.2">
      <c r="B14" s="9" t="s">
        <v>72</v>
      </c>
      <c r="D14" s="9" t="s">
        <v>20</v>
      </c>
      <c r="K14" s="9" t="s">
        <v>331</v>
      </c>
      <c r="L14" s="9" t="s">
        <v>332</v>
      </c>
    </row>
    <row r="15" spans="1:17" x14ac:dyDescent="0.2">
      <c r="B15" s="9" t="s">
        <v>73</v>
      </c>
      <c r="D15" s="9" t="s">
        <v>21</v>
      </c>
      <c r="K15" s="9" t="s">
        <v>333</v>
      </c>
      <c r="L15" s="9" t="s">
        <v>334</v>
      </c>
    </row>
    <row r="16" spans="1:17" x14ac:dyDescent="0.2">
      <c r="B16" s="9" t="s">
        <v>74</v>
      </c>
      <c r="D16" s="9" t="s">
        <v>22</v>
      </c>
      <c r="K16" s="9" t="s">
        <v>174</v>
      </c>
      <c r="L16" s="9" t="s">
        <v>335</v>
      </c>
    </row>
    <row r="17" spans="2:12" x14ac:dyDescent="0.2">
      <c r="B17" s="9" t="s">
        <v>75</v>
      </c>
      <c r="D17" s="9" t="s">
        <v>23</v>
      </c>
      <c r="K17" s="9" t="s">
        <v>336</v>
      </c>
      <c r="L17" s="9" t="s">
        <v>337</v>
      </c>
    </row>
    <row r="18" spans="2:12" x14ac:dyDescent="0.2">
      <c r="B18" s="9" t="s">
        <v>76</v>
      </c>
      <c r="D18" s="9" t="s">
        <v>24</v>
      </c>
      <c r="K18" s="9" t="s">
        <v>117</v>
      </c>
      <c r="L18" s="9" t="s">
        <v>338</v>
      </c>
    </row>
    <row r="19" spans="2:12" x14ac:dyDescent="0.2">
      <c r="B19" s="9" t="s">
        <v>339</v>
      </c>
      <c r="K19" s="9" t="s">
        <v>124</v>
      </c>
      <c r="L19" s="9" t="s">
        <v>340</v>
      </c>
    </row>
    <row r="20" spans="2:12" x14ac:dyDescent="0.2">
      <c r="B20" s="9" t="s">
        <v>341</v>
      </c>
      <c r="D20" s="9" t="s">
        <v>28</v>
      </c>
      <c r="K20" s="9" t="s">
        <v>342</v>
      </c>
      <c r="L20" s="9" t="s">
        <v>343</v>
      </c>
    </row>
    <row r="21" spans="2:12" x14ac:dyDescent="0.2">
      <c r="B21" s="9" t="s">
        <v>344</v>
      </c>
      <c r="D21" s="9" t="s">
        <v>25</v>
      </c>
      <c r="K21" s="9" t="s">
        <v>345</v>
      </c>
      <c r="L21" s="9" t="s">
        <v>346</v>
      </c>
    </row>
    <row r="22" spans="2:12" x14ac:dyDescent="0.2">
      <c r="B22" s="9" t="s">
        <v>61</v>
      </c>
      <c r="D22" s="9" t="s">
        <v>26</v>
      </c>
      <c r="K22" s="9" t="s">
        <v>347</v>
      </c>
      <c r="L22" s="9" t="s">
        <v>348</v>
      </c>
    </row>
    <row r="23" spans="2:12" x14ac:dyDescent="0.2">
      <c r="B23" s="9" t="s">
        <v>62</v>
      </c>
      <c r="D23" s="9" t="s">
        <v>27</v>
      </c>
      <c r="K23" s="9" t="s">
        <v>120</v>
      </c>
      <c r="L23" s="9" t="s">
        <v>349</v>
      </c>
    </row>
    <row r="24" spans="2:12" x14ac:dyDescent="0.2">
      <c r="B24" s="9" t="s">
        <v>63</v>
      </c>
      <c r="D24" s="9" t="s">
        <v>29</v>
      </c>
      <c r="K24" s="9" t="s">
        <v>121</v>
      </c>
      <c r="L24" s="9" t="s">
        <v>350</v>
      </c>
    </row>
    <row r="25" spans="2:12" x14ac:dyDescent="0.2">
      <c r="B25" s="9" t="s">
        <v>64</v>
      </c>
      <c r="D25" s="9" t="s">
        <v>30</v>
      </c>
      <c r="K25" s="9" t="s">
        <v>112</v>
      </c>
      <c r="L25" s="9" t="s">
        <v>351</v>
      </c>
    </row>
    <row r="26" spans="2:12" x14ac:dyDescent="0.2">
      <c r="B26" s="9" t="s">
        <v>65</v>
      </c>
      <c r="D26" s="9" t="s">
        <v>31</v>
      </c>
      <c r="K26" s="9" t="s">
        <v>177</v>
      </c>
      <c r="L26" s="9" t="s">
        <v>352</v>
      </c>
    </row>
    <row r="27" spans="2:12" x14ac:dyDescent="0.2">
      <c r="B27" s="9" t="s">
        <v>66</v>
      </c>
      <c r="D27" s="9" t="s">
        <v>52</v>
      </c>
      <c r="K27" s="9" t="s">
        <v>353</v>
      </c>
      <c r="L27" s="9" t="s">
        <v>354</v>
      </c>
    </row>
    <row r="28" spans="2:12" x14ac:dyDescent="0.2">
      <c r="B28" s="9" t="s">
        <v>67</v>
      </c>
      <c r="D28" s="9" t="s">
        <v>33</v>
      </c>
      <c r="K28" s="9" t="s">
        <v>355</v>
      </c>
      <c r="L28" s="9" t="s">
        <v>356</v>
      </c>
    </row>
    <row r="29" spans="2:12" x14ac:dyDescent="0.2">
      <c r="B29" s="9" t="s">
        <v>68</v>
      </c>
      <c r="D29" s="9" t="s">
        <v>34</v>
      </c>
      <c r="K29" s="9" t="s">
        <v>357</v>
      </c>
      <c r="L29" s="9" t="s">
        <v>358</v>
      </c>
    </row>
    <row r="30" spans="2:12" x14ac:dyDescent="0.2">
      <c r="K30" s="9" t="s">
        <v>119</v>
      </c>
      <c r="L30" s="9" t="s">
        <v>359</v>
      </c>
    </row>
    <row r="31" spans="2:12" x14ac:dyDescent="0.2">
      <c r="B31" s="9" t="s">
        <v>104</v>
      </c>
      <c r="D31" s="9" t="s">
        <v>360</v>
      </c>
      <c r="K31" s="9" t="s">
        <v>113</v>
      </c>
      <c r="L31" s="9" t="s">
        <v>361</v>
      </c>
    </row>
    <row r="32" spans="2:12" x14ac:dyDescent="0.2">
      <c r="B32" s="9" t="s">
        <v>105</v>
      </c>
      <c r="D32" s="9" t="s">
        <v>362</v>
      </c>
      <c r="K32" s="9" t="s">
        <v>115</v>
      </c>
      <c r="L32" s="9" t="s">
        <v>363</v>
      </c>
    </row>
    <row r="33" spans="2:12" x14ac:dyDescent="0.2">
      <c r="B33" s="9" t="s">
        <v>106</v>
      </c>
      <c r="D33" s="9" t="s">
        <v>364</v>
      </c>
      <c r="K33" s="9" t="s">
        <v>365</v>
      </c>
      <c r="L33" s="9" t="s">
        <v>366</v>
      </c>
    </row>
    <row r="34" spans="2:12" x14ac:dyDescent="0.2">
      <c r="B34" s="9" t="s">
        <v>107</v>
      </c>
      <c r="D34" s="9" t="s">
        <v>367</v>
      </c>
      <c r="K34" s="9" t="s">
        <v>368</v>
      </c>
      <c r="L34" s="9" t="s">
        <v>175</v>
      </c>
    </row>
    <row r="35" spans="2:12" x14ac:dyDescent="0.2">
      <c r="B35" s="9" t="s">
        <v>108</v>
      </c>
      <c r="D35" s="9" t="s">
        <v>369</v>
      </c>
      <c r="K35" s="9" t="s">
        <v>370</v>
      </c>
      <c r="L35" s="9" t="s">
        <v>371</v>
      </c>
    </row>
    <row r="36" spans="2:12" x14ac:dyDescent="0.2">
      <c r="D36" s="9" t="s">
        <v>372</v>
      </c>
      <c r="K36" s="9" t="s">
        <v>114</v>
      </c>
      <c r="L36" s="9" t="s">
        <v>373</v>
      </c>
    </row>
    <row r="37" spans="2:12" x14ac:dyDescent="0.2">
      <c r="D37" s="9" t="s">
        <v>374</v>
      </c>
      <c r="K37" s="9" t="s">
        <v>375</v>
      </c>
      <c r="L37" s="9" t="s">
        <v>376</v>
      </c>
    </row>
    <row r="38" spans="2:12" x14ac:dyDescent="0.2">
      <c r="D38" s="9" t="s">
        <v>377</v>
      </c>
      <c r="K38" s="9" t="s">
        <v>110</v>
      </c>
      <c r="L38" s="9" t="s">
        <v>376</v>
      </c>
    </row>
    <row r="39" spans="2:12" x14ac:dyDescent="0.2">
      <c r="D39" s="9" t="s">
        <v>378</v>
      </c>
      <c r="K39" s="9" t="s">
        <v>118</v>
      </c>
      <c r="L39" s="9" t="s">
        <v>379</v>
      </c>
    </row>
    <row r="40" spans="2:12" x14ac:dyDescent="0.2">
      <c r="D40" s="9" t="s">
        <v>380</v>
      </c>
      <c r="K40" s="9" t="s">
        <v>381</v>
      </c>
      <c r="L40" s="9" t="s">
        <v>382</v>
      </c>
    </row>
    <row r="41" spans="2:12" x14ac:dyDescent="0.2">
      <c r="D41" s="9" t="s">
        <v>383</v>
      </c>
      <c r="K41" s="9" t="s">
        <v>384</v>
      </c>
      <c r="L41" s="9" t="s">
        <v>385</v>
      </c>
    </row>
    <row r="42" spans="2:12" x14ac:dyDescent="0.2">
      <c r="D42" s="9" t="s">
        <v>386</v>
      </c>
      <c r="K42" s="9" t="s">
        <v>116</v>
      </c>
      <c r="L42" s="9" t="s">
        <v>387</v>
      </c>
    </row>
    <row r="43" spans="2:12" x14ac:dyDescent="0.2">
      <c r="L43" s="9" t="s">
        <v>388</v>
      </c>
    </row>
    <row r="44" spans="2:12" x14ac:dyDescent="0.2">
      <c r="L44" s="9" t="s">
        <v>389</v>
      </c>
    </row>
    <row r="45" spans="2:12" x14ac:dyDescent="0.2">
      <c r="L45" s="9" t="s">
        <v>390</v>
      </c>
    </row>
    <row r="46" spans="2:12" x14ac:dyDescent="0.2">
      <c r="L46" s="9" t="s">
        <v>391</v>
      </c>
    </row>
    <row r="47" spans="2:12" x14ac:dyDescent="0.2">
      <c r="L47" s="9" t="s">
        <v>392</v>
      </c>
    </row>
    <row r="48" spans="2:12" x14ac:dyDescent="0.2">
      <c r="L48" s="9" t="s">
        <v>393</v>
      </c>
    </row>
    <row r="49" spans="12:12" x14ac:dyDescent="0.2">
      <c r="L49" s="9" t="s">
        <v>394</v>
      </c>
    </row>
    <row r="50" spans="12:12" x14ac:dyDescent="0.2">
      <c r="L50" s="9" t="s">
        <v>395</v>
      </c>
    </row>
    <row r="51" spans="12:12" x14ac:dyDescent="0.2">
      <c r="L51" s="9" t="s">
        <v>396</v>
      </c>
    </row>
    <row r="52" spans="12:12" x14ac:dyDescent="0.2">
      <c r="L52" s="9" t="s">
        <v>397</v>
      </c>
    </row>
    <row r="53" spans="12:12" x14ac:dyDescent="0.2">
      <c r="L53" s="9" t="s">
        <v>398</v>
      </c>
    </row>
    <row r="54" spans="12:12" x14ac:dyDescent="0.2">
      <c r="L54" s="9" t="s">
        <v>399</v>
      </c>
    </row>
    <row r="55" spans="12:12" x14ac:dyDescent="0.2">
      <c r="L55" s="9" t="s">
        <v>400</v>
      </c>
    </row>
    <row r="56" spans="12:12" x14ac:dyDescent="0.2">
      <c r="L56" s="9" t="s">
        <v>401</v>
      </c>
    </row>
    <row r="57" spans="12:12" x14ac:dyDescent="0.2">
      <c r="L57" s="9" t="s">
        <v>402</v>
      </c>
    </row>
    <row r="58" spans="12:12" x14ac:dyDescent="0.2">
      <c r="L58" s="9" t="s">
        <v>403</v>
      </c>
    </row>
    <row r="59" spans="12:12" x14ac:dyDescent="0.2">
      <c r="L59" s="9" t="s">
        <v>404</v>
      </c>
    </row>
    <row r="60" spans="12:12" x14ac:dyDescent="0.2">
      <c r="L60" s="9" t="s">
        <v>310</v>
      </c>
    </row>
    <row r="61" spans="12:12" x14ac:dyDescent="0.2">
      <c r="L61" s="9" t="s">
        <v>405</v>
      </c>
    </row>
    <row r="62" spans="12:12" x14ac:dyDescent="0.2">
      <c r="L62" s="9" t="s">
        <v>406</v>
      </c>
    </row>
    <row r="63" spans="12:12" x14ac:dyDescent="0.2">
      <c r="L63" s="9" t="s">
        <v>407</v>
      </c>
    </row>
    <row r="64" spans="12:12" x14ac:dyDescent="0.2">
      <c r="L64" s="9" t="s">
        <v>408</v>
      </c>
    </row>
    <row r="65" spans="12:12" x14ac:dyDescent="0.2">
      <c r="L65" s="9" t="s">
        <v>409</v>
      </c>
    </row>
    <row r="66" spans="12:12" x14ac:dyDescent="0.2">
      <c r="L66" s="9" t="s">
        <v>410</v>
      </c>
    </row>
    <row r="67" spans="12:12" x14ac:dyDescent="0.2">
      <c r="L67" s="9" t="s">
        <v>411</v>
      </c>
    </row>
    <row r="68" spans="12:12" x14ac:dyDescent="0.2">
      <c r="L68" s="9" t="s">
        <v>412</v>
      </c>
    </row>
    <row r="69" spans="12:12" x14ac:dyDescent="0.2">
      <c r="L69" s="9" t="s">
        <v>413</v>
      </c>
    </row>
    <row r="70" spans="12:12" x14ac:dyDescent="0.2">
      <c r="L70" s="9" t="s">
        <v>414</v>
      </c>
    </row>
    <row r="71" spans="12:12" x14ac:dyDescent="0.2">
      <c r="L71" s="9" t="s">
        <v>415</v>
      </c>
    </row>
    <row r="72" spans="12:12" x14ac:dyDescent="0.2">
      <c r="L72" s="9" t="s">
        <v>416</v>
      </c>
    </row>
    <row r="73" spans="12:12" x14ac:dyDescent="0.2">
      <c r="L73" s="9" t="s">
        <v>417</v>
      </c>
    </row>
    <row r="74" spans="12:12" x14ac:dyDescent="0.2">
      <c r="L74" s="9" t="s">
        <v>418</v>
      </c>
    </row>
    <row r="75" spans="12:12" x14ac:dyDescent="0.2">
      <c r="L75" s="9" t="s">
        <v>419</v>
      </c>
    </row>
    <row r="76" spans="12:12" x14ac:dyDescent="0.2">
      <c r="L76" s="9" t="s">
        <v>420</v>
      </c>
    </row>
    <row r="77" spans="12:12" x14ac:dyDescent="0.2">
      <c r="L77" s="9" t="s">
        <v>421</v>
      </c>
    </row>
    <row r="78" spans="12:12" x14ac:dyDescent="0.2">
      <c r="L78" s="9" t="s">
        <v>422</v>
      </c>
    </row>
    <row r="79" spans="12:12" x14ac:dyDescent="0.2">
      <c r="L79" s="9" t="s">
        <v>423</v>
      </c>
    </row>
    <row r="80" spans="12:12" x14ac:dyDescent="0.2">
      <c r="L80" s="9" t="s">
        <v>424</v>
      </c>
    </row>
    <row r="81" spans="12:12" x14ac:dyDescent="0.2">
      <c r="L81" s="9" t="s">
        <v>425</v>
      </c>
    </row>
    <row r="82" spans="12:12" x14ac:dyDescent="0.2">
      <c r="L82" s="9" t="s">
        <v>426</v>
      </c>
    </row>
    <row r="83" spans="12:12" x14ac:dyDescent="0.2">
      <c r="L83" s="9" t="s">
        <v>427</v>
      </c>
    </row>
    <row r="84" spans="12:12" x14ac:dyDescent="0.2">
      <c r="L84" s="9" t="s">
        <v>428</v>
      </c>
    </row>
    <row r="85" spans="12:12" x14ac:dyDescent="0.2">
      <c r="L85" s="9" t="s">
        <v>429</v>
      </c>
    </row>
    <row r="86" spans="12:12" x14ac:dyDescent="0.2">
      <c r="L86" s="9" t="s">
        <v>430</v>
      </c>
    </row>
    <row r="87" spans="12:12" x14ac:dyDescent="0.2">
      <c r="L87" s="9" t="s">
        <v>431</v>
      </c>
    </row>
    <row r="88" spans="12:12" x14ac:dyDescent="0.2">
      <c r="L88" s="9" t="s">
        <v>432</v>
      </c>
    </row>
    <row r="89" spans="12:12" x14ac:dyDescent="0.2">
      <c r="L89" s="9" t="s">
        <v>433</v>
      </c>
    </row>
    <row r="90" spans="12:12" x14ac:dyDescent="0.2">
      <c r="L90" s="9" t="s">
        <v>434</v>
      </c>
    </row>
    <row r="91" spans="12:12" x14ac:dyDescent="0.2">
      <c r="L91" s="9" t="s">
        <v>435</v>
      </c>
    </row>
    <row r="92" spans="12:12" x14ac:dyDescent="0.2">
      <c r="L92" s="9" t="s">
        <v>436</v>
      </c>
    </row>
    <row r="93" spans="12:12" x14ac:dyDescent="0.2">
      <c r="L93" s="9" t="s">
        <v>437</v>
      </c>
    </row>
    <row r="94" spans="12:12" x14ac:dyDescent="0.2">
      <c r="L94" s="9" t="s">
        <v>438</v>
      </c>
    </row>
    <row r="95" spans="12:12" x14ac:dyDescent="0.2">
      <c r="L95" s="9" t="s">
        <v>439</v>
      </c>
    </row>
    <row r="96" spans="12:12" x14ac:dyDescent="0.2">
      <c r="L96" s="9" t="s">
        <v>440</v>
      </c>
    </row>
    <row r="97" spans="12:12" x14ac:dyDescent="0.2">
      <c r="L97" s="9" t="s">
        <v>441</v>
      </c>
    </row>
    <row r="98" spans="12:12" x14ac:dyDescent="0.2">
      <c r="L98" s="9" t="s">
        <v>442</v>
      </c>
    </row>
    <row r="99" spans="12:12" x14ac:dyDescent="0.2">
      <c r="L99" s="9" t="s">
        <v>443</v>
      </c>
    </row>
    <row r="100" spans="12:12" x14ac:dyDescent="0.2">
      <c r="L100" s="9" t="s">
        <v>444</v>
      </c>
    </row>
    <row r="101" spans="12:12" x14ac:dyDescent="0.2">
      <c r="L101" s="9" t="s">
        <v>445</v>
      </c>
    </row>
    <row r="102" spans="12:12" x14ac:dyDescent="0.2">
      <c r="L102" s="9" t="s">
        <v>446</v>
      </c>
    </row>
    <row r="103" spans="12:12" x14ac:dyDescent="0.2">
      <c r="L103" s="9" t="s">
        <v>447</v>
      </c>
    </row>
    <row r="104" spans="12:12" x14ac:dyDescent="0.2">
      <c r="L104" s="9" t="s">
        <v>448</v>
      </c>
    </row>
    <row r="105" spans="12:12" x14ac:dyDescent="0.2">
      <c r="L105" s="9" t="s">
        <v>449</v>
      </c>
    </row>
    <row r="106" spans="12:12" x14ac:dyDescent="0.2">
      <c r="L106" s="9" t="s">
        <v>450</v>
      </c>
    </row>
    <row r="107" spans="12:12" x14ac:dyDescent="0.2">
      <c r="L107" s="9" t="s">
        <v>451</v>
      </c>
    </row>
    <row r="108" spans="12:12" x14ac:dyDescent="0.2">
      <c r="L108" s="9" t="s">
        <v>452</v>
      </c>
    </row>
    <row r="109" spans="12:12" x14ac:dyDescent="0.2">
      <c r="L109" s="9" t="s">
        <v>453</v>
      </c>
    </row>
    <row r="110" spans="12:12" x14ac:dyDescent="0.2">
      <c r="L110" s="9" t="s">
        <v>454</v>
      </c>
    </row>
    <row r="111" spans="12:12" x14ac:dyDescent="0.2">
      <c r="L111" s="9" t="s">
        <v>455</v>
      </c>
    </row>
    <row r="112" spans="12:12" x14ac:dyDescent="0.2">
      <c r="L112" s="9" t="s">
        <v>456</v>
      </c>
    </row>
    <row r="113" spans="12:12" x14ac:dyDescent="0.2">
      <c r="L113" s="9" t="s">
        <v>457</v>
      </c>
    </row>
    <row r="114" spans="12:12" x14ac:dyDescent="0.2">
      <c r="L114" s="9" t="s">
        <v>458</v>
      </c>
    </row>
    <row r="115" spans="12:12" x14ac:dyDescent="0.2">
      <c r="L115" s="9" t="s">
        <v>459</v>
      </c>
    </row>
    <row r="116" spans="12:12" x14ac:dyDescent="0.2">
      <c r="L116" s="9" t="s">
        <v>460</v>
      </c>
    </row>
    <row r="117" spans="12:12" x14ac:dyDescent="0.2">
      <c r="L117" s="9" t="s">
        <v>461</v>
      </c>
    </row>
    <row r="118" spans="12:12" x14ac:dyDescent="0.2">
      <c r="L118" s="9" t="s">
        <v>462</v>
      </c>
    </row>
    <row r="119" spans="12:12" x14ac:dyDescent="0.2">
      <c r="L119" s="9" t="s">
        <v>463</v>
      </c>
    </row>
    <row r="120" spans="12:12" x14ac:dyDescent="0.2">
      <c r="L120" s="9" t="s">
        <v>464</v>
      </c>
    </row>
    <row r="121" spans="12:12" x14ac:dyDescent="0.2">
      <c r="L121" s="9" t="s">
        <v>465</v>
      </c>
    </row>
    <row r="122" spans="12:12" x14ac:dyDescent="0.2">
      <c r="L122" s="9" t="s">
        <v>466</v>
      </c>
    </row>
    <row r="123" spans="12:12" x14ac:dyDescent="0.2">
      <c r="L123" s="9" t="s">
        <v>467</v>
      </c>
    </row>
    <row r="124" spans="12:12" x14ac:dyDescent="0.2">
      <c r="L124" s="9" t="s">
        <v>468</v>
      </c>
    </row>
    <row r="125" spans="12:12" x14ac:dyDescent="0.2">
      <c r="L125" s="9" t="s">
        <v>469</v>
      </c>
    </row>
    <row r="126" spans="12:12" x14ac:dyDescent="0.2">
      <c r="L126" s="9" t="s">
        <v>470</v>
      </c>
    </row>
    <row r="127" spans="12:12" x14ac:dyDescent="0.2">
      <c r="L127" s="9" t="s">
        <v>471</v>
      </c>
    </row>
    <row r="128" spans="12:12" x14ac:dyDescent="0.2">
      <c r="L128" s="9" t="s">
        <v>472</v>
      </c>
    </row>
    <row r="129" spans="12:12" x14ac:dyDescent="0.2">
      <c r="L129" s="9" t="s">
        <v>473</v>
      </c>
    </row>
    <row r="130" spans="12:12" x14ac:dyDescent="0.2">
      <c r="L130" s="9" t="s">
        <v>474</v>
      </c>
    </row>
    <row r="131" spans="12:12" x14ac:dyDescent="0.2">
      <c r="L131" s="9" t="s">
        <v>475</v>
      </c>
    </row>
    <row r="132" spans="12:12" x14ac:dyDescent="0.2">
      <c r="L132" s="9" t="s">
        <v>476</v>
      </c>
    </row>
    <row r="133" spans="12:12" x14ac:dyDescent="0.2">
      <c r="L133" s="9" t="s">
        <v>477</v>
      </c>
    </row>
    <row r="134" spans="12:12" x14ac:dyDescent="0.2">
      <c r="L134" s="9" t="s">
        <v>478</v>
      </c>
    </row>
    <row r="135" spans="12:12" x14ac:dyDescent="0.2">
      <c r="L135" s="9" t="s">
        <v>479</v>
      </c>
    </row>
    <row r="136" spans="12:12" x14ac:dyDescent="0.2">
      <c r="L136" s="9" t="s">
        <v>480</v>
      </c>
    </row>
    <row r="137" spans="12:12" x14ac:dyDescent="0.2">
      <c r="L137" s="9" t="s">
        <v>481</v>
      </c>
    </row>
    <row r="138" spans="12:12" x14ac:dyDescent="0.2">
      <c r="L138" s="9" t="s">
        <v>482</v>
      </c>
    </row>
    <row r="139" spans="12:12" x14ac:dyDescent="0.2">
      <c r="L139" s="9" t="s">
        <v>483</v>
      </c>
    </row>
    <row r="140" spans="12:12" x14ac:dyDescent="0.2">
      <c r="L140" s="9" t="s">
        <v>484</v>
      </c>
    </row>
    <row r="141" spans="12:12" x14ac:dyDescent="0.2">
      <c r="L141" s="9" t="s">
        <v>485</v>
      </c>
    </row>
    <row r="142" spans="12:12" x14ac:dyDescent="0.2">
      <c r="L142" s="9" t="s">
        <v>485</v>
      </c>
    </row>
    <row r="143" spans="12:12" x14ac:dyDescent="0.2">
      <c r="L143" s="9" t="s">
        <v>486</v>
      </c>
    </row>
    <row r="144" spans="12:12" x14ac:dyDescent="0.2">
      <c r="L144" s="9" t="s">
        <v>487</v>
      </c>
    </row>
    <row r="145" spans="12:12" x14ac:dyDescent="0.2">
      <c r="L145" s="9" t="s">
        <v>488</v>
      </c>
    </row>
    <row r="146" spans="12:12" x14ac:dyDescent="0.2">
      <c r="L146" s="9" t="s">
        <v>489</v>
      </c>
    </row>
    <row r="147" spans="12:12" x14ac:dyDescent="0.2">
      <c r="L147" s="9" t="s">
        <v>490</v>
      </c>
    </row>
    <row r="148" spans="12:12" x14ac:dyDescent="0.2">
      <c r="L148" s="9" t="s">
        <v>491</v>
      </c>
    </row>
    <row r="149" spans="12:12" x14ac:dyDescent="0.2">
      <c r="L149" s="9" t="s">
        <v>492</v>
      </c>
    </row>
    <row r="150" spans="12:12" x14ac:dyDescent="0.2">
      <c r="L150" s="9" t="s">
        <v>493</v>
      </c>
    </row>
    <row r="151" spans="12:12" x14ac:dyDescent="0.2">
      <c r="L151" s="9" t="s">
        <v>494</v>
      </c>
    </row>
    <row r="152" spans="12:12" x14ac:dyDescent="0.2">
      <c r="L152" s="9" t="s">
        <v>495</v>
      </c>
    </row>
    <row r="153" spans="12:12" x14ac:dyDescent="0.2">
      <c r="L153" s="9" t="s">
        <v>496</v>
      </c>
    </row>
    <row r="154" spans="12:12" x14ac:dyDescent="0.2">
      <c r="L154" s="9" t="s">
        <v>497</v>
      </c>
    </row>
    <row r="155" spans="12:12" x14ac:dyDescent="0.2">
      <c r="L155" s="9" t="s">
        <v>498</v>
      </c>
    </row>
    <row r="156" spans="12:12" x14ac:dyDescent="0.2">
      <c r="L156" s="9" t="s">
        <v>499</v>
      </c>
    </row>
    <row r="157" spans="12:12" x14ac:dyDescent="0.2">
      <c r="L157" s="9" t="s">
        <v>500</v>
      </c>
    </row>
    <row r="158" spans="12:12" x14ac:dyDescent="0.2">
      <c r="L158" s="9" t="s">
        <v>501</v>
      </c>
    </row>
    <row r="159" spans="12:12" x14ac:dyDescent="0.2">
      <c r="L159" s="9" t="s">
        <v>502</v>
      </c>
    </row>
    <row r="160" spans="12:12" x14ac:dyDescent="0.2">
      <c r="L160" s="9" t="s">
        <v>503</v>
      </c>
    </row>
    <row r="161" spans="12:12" x14ac:dyDescent="0.2">
      <c r="L161" s="9" t="s">
        <v>504</v>
      </c>
    </row>
    <row r="162" spans="12:12" x14ac:dyDescent="0.2">
      <c r="L162" s="9" t="s">
        <v>505</v>
      </c>
    </row>
    <row r="163" spans="12:12" x14ac:dyDescent="0.2">
      <c r="L163" s="9" t="s">
        <v>506</v>
      </c>
    </row>
    <row r="164" spans="12:12" x14ac:dyDescent="0.2">
      <c r="L164" s="9" t="s">
        <v>507</v>
      </c>
    </row>
    <row r="165" spans="12:12" x14ac:dyDescent="0.2">
      <c r="L165" s="9" t="s">
        <v>508</v>
      </c>
    </row>
    <row r="166" spans="12:12" x14ac:dyDescent="0.2">
      <c r="L166" s="9" t="s">
        <v>509</v>
      </c>
    </row>
    <row r="167" spans="12:12" x14ac:dyDescent="0.2">
      <c r="L167" s="9" t="s">
        <v>510</v>
      </c>
    </row>
    <row r="168" spans="12:12" x14ac:dyDescent="0.2">
      <c r="L168" s="9" t="s">
        <v>511</v>
      </c>
    </row>
    <row r="169" spans="12:12" x14ac:dyDescent="0.2">
      <c r="L169" s="9" t="s">
        <v>512</v>
      </c>
    </row>
    <row r="170" spans="12:12" x14ac:dyDescent="0.2">
      <c r="L170" s="9" t="s">
        <v>513</v>
      </c>
    </row>
    <row r="171" spans="12:12" x14ac:dyDescent="0.2">
      <c r="L171" s="9" t="s">
        <v>514</v>
      </c>
    </row>
    <row r="172" spans="12:12" x14ac:dyDescent="0.2">
      <c r="L172" s="9" t="s">
        <v>514</v>
      </c>
    </row>
    <row r="173" spans="12:12" x14ac:dyDescent="0.2">
      <c r="L173" s="9" t="s">
        <v>515</v>
      </c>
    </row>
    <row r="174" spans="12:12" x14ac:dyDescent="0.2">
      <c r="L174" s="9" t="s">
        <v>516</v>
      </c>
    </row>
    <row r="175" spans="12:12" x14ac:dyDescent="0.2">
      <c r="L175" s="9" t="s">
        <v>517</v>
      </c>
    </row>
    <row r="176" spans="12:12" x14ac:dyDescent="0.2">
      <c r="L176" s="9" t="s">
        <v>518</v>
      </c>
    </row>
    <row r="177" spans="12:12" x14ac:dyDescent="0.2">
      <c r="L177" s="9" t="s">
        <v>519</v>
      </c>
    </row>
    <row r="178" spans="12:12" x14ac:dyDescent="0.2">
      <c r="L178" s="9" t="s">
        <v>520</v>
      </c>
    </row>
    <row r="179" spans="12:12" x14ac:dyDescent="0.2">
      <c r="L179" s="9" t="s">
        <v>521</v>
      </c>
    </row>
    <row r="180" spans="12:12" x14ac:dyDescent="0.2">
      <c r="L180" s="9" t="s">
        <v>522</v>
      </c>
    </row>
    <row r="181" spans="12:12" x14ac:dyDescent="0.2">
      <c r="L181" s="9" t="s">
        <v>523</v>
      </c>
    </row>
    <row r="182" spans="12:12" x14ac:dyDescent="0.2">
      <c r="L182" s="9" t="s">
        <v>524</v>
      </c>
    </row>
    <row r="183" spans="12:12" x14ac:dyDescent="0.2">
      <c r="L183" s="9" t="s">
        <v>525</v>
      </c>
    </row>
    <row r="184" spans="12:12" x14ac:dyDescent="0.2">
      <c r="L184" s="9" t="s">
        <v>526</v>
      </c>
    </row>
    <row r="185" spans="12:12" x14ac:dyDescent="0.2">
      <c r="L185" s="9" t="s">
        <v>527</v>
      </c>
    </row>
    <row r="186" spans="12:12" x14ac:dyDescent="0.2">
      <c r="L186" s="9" t="s">
        <v>528</v>
      </c>
    </row>
    <row r="187" spans="12:12" x14ac:dyDescent="0.2">
      <c r="L187" s="9" t="s">
        <v>529</v>
      </c>
    </row>
    <row r="188" spans="12:12" x14ac:dyDescent="0.2">
      <c r="L188" s="9" t="s">
        <v>530</v>
      </c>
    </row>
    <row r="189" spans="12:12" x14ac:dyDescent="0.2">
      <c r="L189" s="9" t="s">
        <v>531</v>
      </c>
    </row>
    <row r="190" spans="12:12" x14ac:dyDescent="0.2">
      <c r="L190" s="9" t="s">
        <v>532</v>
      </c>
    </row>
    <row r="191" spans="12:12" x14ac:dyDescent="0.2">
      <c r="L191" s="9" t="s">
        <v>533</v>
      </c>
    </row>
    <row r="192" spans="12:12" x14ac:dyDescent="0.2">
      <c r="L192" s="9" t="s">
        <v>534</v>
      </c>
    </row>
    <row r="193" spans="12:12" x14ac:dyDescent="0.2">
      <c r="L193" s="9" t="s">
        <v>535</v>
      </c>
    </row>
    <row r="194" spans="12:12" x14ac:dyDescent="0.2">
      <c r="L194" s="9" t="s">
        <v>536</v>
      </c>
    </row>
    <row r="195" spans="12:12" x14ac:dyDescent="0.2">
      <c r="L195" s="9" t="s">
        <v>537</v>
      </c>
    </row>
    <row r="196" spans="12:12" x14ac:dyDescent="0.2">
      <c r="L196" s="9" t="s">
        <v>538</v>
      </c>
    </row>
    <row r="197" spans="12:12" x14ac:dyDescent="0.2">
      <c r="L197" s="9" t="s">
        <v>539</v>
      </c>
    </row>
    <row r="198" spans="12:12" x14ac:dyDescent="0.2">
      <c r="L198" s="9" t="s">
        <v>540</v>
      </c>
    </row>
    <row r="199" spans="12:12" x14ac:dyDescent="0.2">
      <c r="L199" s="9" t="s">
        <v>541</v>
      </c>
    </row>
    <row r="200" spans="12:12" x14ac:dyDescent="0.2">
      <c r="L200" s="9" t="s">
        <v>542</v>
      </c>
    </row>
    <row r="201" spans="12:12" x14ac:dyDescent="0.2">
      <c r="L201" s="9" t="s">
        <v>543</v>
      </c>
    </row>
    <row r="202" spans="12:12" x14ac:dyDescent="0.2">
      <c r="L202" s="9" t="s">
        <v>544</v>
      </c>
    </row>
    <row r="203" spans="12:12" x14ac:dyDescent="0.2">
      <c r="L203" s="9" t="s">
        <v>545</v>
      </c>
    </row>
    <row r="204" spans="12:12" x14ac:dyDescent="0.2">
      <c r="L204" s="9" t="s">
        <v>546</v>
      </c>
    </row>
    <row r="205" spans="12:12" x14ac:dyDescent="0.2">
      <c r="L205" s="9" t="s">
        <v>547</v>
      </c>
    </row>
    <row r="206" spans="12:12" x14ac:dyDescent="0.2">
      <c r="L206" s="9" t="s">
        <v>548</v>
      </c>
    </row>
    <row r="207" spans="12:12" x14ac:dyDescent="0.2">
      <c r="L207" s="9" t="s">
        <v>549</v>
      </c>
    </row>
    <row r="208" spans="12:12" x14ac:dyDescent="0.2">
      <c r="L208" s="9" t="s">
        <v>550</v>
      </c>
    </row>
    <row r="209" spans="12:12" x14ac:dyDescent="0.2">
      <c r="L209" s="9" t="s">
        <v>551</v>
      </c>
    </row>
    <row r="210" spans="12:12" x14ac:dyDescent="0.2">
      <c r="L210" s="9" t="s">
        <v>552</v>
      </c>
    </row>
    <row r="211" spans="12:12" x14ac:dyDescent="0.2">
      <c r="L211" s="9" t="s">
        <v>553</v>
      </c>
    </row>
    <row r="212" spans="12:12" x14ac:dyDescent="0.2">
      <c r="L212" s="9" t="s">
        <v>554</v>
      </c>
    </row>
    <row r="213" spans="12:12" x14ac:dyDescent="0.2">
      <c r="L213" s="9" t="s">
        <v>555</v>
      </c>
    </row>
    <row r="214" spans="12:12" x14ac:dyDescent="0.2">
      <c r="L214" s="9" t="s">
        <v>556</v>
      </c>
    </row>
    <row r="215" spans="12:12" x14ac:dyDescent="0.2">
      <c r="L215" s="9" t="s">
        <v>557</v>
      </c>
    </row>
    <row r="216" spans="12:12" x14ac:dyDescent="0.2">
      <c r="L216" s="9" t="s">
        <v>558</v>
      </c>
    </row>
    <row r="217" spans="12:12" x14ac:dyDescent="0.2">
      <c r="L217" s="9" t="s">
        <v>559</v>
      </c>
    </row>
    <row r="218" spans="12:12" x14ac:dyDescent="0.2">
      <c r="L218" s="9" t="s">
        <v>560</v>
      </c>
    </row>
    <row r="219" spans="12:12" x14ac:dyDescent="0.2">
      <c r="L219" s="9" t="s">
        <v>561</v>
      </c>
    </row>
    <row r="220" spans="12:12" x14ac:dyDescent="0.2">
      <c r="L220" s="9" t="s">
        <v>562</v>
      </c>
    </row>
    <row r="221" spans="12:12" x14ac:dyDescent="0.2">
      <c r="L221" s="9" t="s">
        <v>563</v>
      </c>
    </row>
    <row r="222" spans="12:12" x14ac:dyDescent="0.2">
      <c r="L222" s="9" t="s">
        <v>564</v>
      </c>
    </row>
    <row r="223" spans="12:12" x14ac:dyDescent="0.2">
      <c r="L223" s="9" t="s">
        <v>565</v>
      </c>
    </row>
    <row r="224" spans="12:12" x14ac:dyDescent="0.2">
      <c r="L224" s="9" t="s">
        <v>566</v>
      </c>
    </row>
    <row r="225" spans="12:12" x14ac:dyDescent="0.2">
      <c r="L225" s="9" t="s">
        <v>566</v>
      </c>
    </row>
    <row r="226" spans="12:12" x14ac:dyDescent="0.2">
      <c r="L226" s="9" t="s">
        <v>567</v>
      </c>
    </row>
    <row r="227" spans="12:12" x14ac:dyDescent="0.2">
      <c r="L227" s="9" t="s">
        <v>568</v>
      </c>
    </row>
    <row r="228" spans="12:12" x14ac:dyDescent="0.2">
      <c r="L228" s="9" t="s">
        <v>569</v>
      </c>
    </row>
    <row r="229" spans="12:12" x14ac:dyDescent="0.2">
      <c r="L229" s="9" t="s">
        <v>570</v>
      </c>
    </row>
    <row r="230" spans="12:12" x14ac:dyDescent="0.2">
      <c r="L230" s="9" t="s">
        <v>571</v>
      </c>
    </row>
    <row r="231" spans="12:12" x14ac:dyDescent="0.2">
      <c r="L231" s="9" t="s">
        <v>572</v>
      </c>
    </row>
    <row r="232" spans="12:12" x14ac:dyDescent="0.2">
      <c r="L232" s="9" t="s">
        <v>573</v>
      </c>
    </row>
    <row r="233" spans="12:12" x14ac:dyDescent="0.2">
      <c r="L233" s="9" t="s">
        <v>574</v>
      </c>
    </row>
    <row r="234" spans="12:12" x14ac:dyDescent="0.2">
      <c r="L234" s="9" t="s">
        <v>575</v>
      </c>
    </row>
    <row r="235" spans="12:12" x14ac:dyDescent="0.2">
      <c r="L235" s="9" t="s">
        <v>576</v>
      </c>
    </row>
    <row r="236" spans="12:12" x14ac:dyDescent="0.2">
      <c r="L236" s="9" t="s">
        <v>577</v>
      </c>
    </row>
    <row r="237" spans="12:12" x14ac:dyDescent="0.2">
      <c r="L237" s="9" t="s">
        <v>326</v>
      </c>
    </row>
    <row r="238" spans="12:12" x14ac:dyDescent="0.2">
      <c r="L238" s="9" t="s">
        <v>578</v>
      </c>
    </row>
    <row r="239" spans="12:12" x14ac:dyDescent="0.2">
      <c r="L239" s="9" t="s">
        <v>579</v>
      </c>
    </row>
    <row r="240" spans="12:12" x14ac:dyDescent="0.2">
      <c r="L240" s="9" t="s">
        <v>580</v>
      </c>
    </row>
    <row r="241" spans="12:12" x14ac:dyDescent="0.2">
      <c r="L241" s="9" t="s">
        <v>581</v>
      </c>
    </row>
    <row r="242" spans="12:12" x14ac:dyDescent="0.2">
      <c r="L242" s="9" t="s">
        <v>582</v>
      </c>
    </row>
    <row r="243" spans="12:12" x14ac:dyDescent="0.2">
      <c r="L243" s="9" t="s">
        <v>583</v>
      </c>
    </row>
    <row r="244" spans="12:12" x14ac:dyDescent="0.2">
      <c r="L244" s="9" t="s">
        <v>584</v>
      </c>
    </row>
    <row r="245" spans="12:12" x14ac:dyDescent="0.2">
      <c r="L245" s="9" t="s">
        <v>585</v>
      </c>
    </row>
    <row r="246" spans="12:12" x14ac:dyDescent="0.2">
      <c r="L246" s="9" t="s">
        <v>586</v>
      </c>
    </row>
    <row r="247" spans="12:12" x14ac:dyDescent="0.2">
      <c r="L247" s="9" t="s">
        <v>587</v>
      </c>
    </row>
    <row r="248" spans="12:12" x14ac:dyDescent="0.2">
      <c r="L248" s="9" t="s">
        <v>588</v>
      </c>
    </row>
    <row r="249" spans="12:12" x14ac:dyDescent="0.2">
      <c r="L249" s="9" t="s">
        <v>589</v>
      </c>
    </row>
    <row r="250" spans="12:12" x14ac:dyDescent="0.2">
      <c r="L250" s="9" t="s">
        <v>590</v>
      </c>
    </row>
    <row r="251" spans="12:12" x14ac:dyDescent="0.2">
      <c r="L251" s="9" t="s">
        <v>591</v>
      </c>
    </row>
    <row r="252" spans="12:12" x14ac:dyDescent="0.2">
      <c r="L252" s="9" t="s">
        <v>592</v>
      </c>
    </row>
    <row r="253" spans="12:12" x14ac:dyDescent="0.2">
      <c r="L253" s="9" t="s">
        <v>593</v>
      </c>
    </row>
    <row r="254" spans="12:12" x14ac:dyDescent="0.2">
      <c r="L254" s="9" t="s">
        <v>594</v>
      </c>
    </row>
    <row r="255" spans="12:12" x14ac:dyDescent="0.2">
      <c r="L255" s="9" t="s">
        <v>595</v>
      </c>
    </row>
    <row r="256" spans="12:12" x14ac:dyDescent="0.2">
      <c r="L256" s="9" t="s">
        <v>596</v>
      </c>
    </row>
    <row r="257" spans="12:12" x14ac:dyDescent="0.2">
      <c r="L257" s="9" t="s">
        <v>597</v>
      </c>
    </row>
    <row r="258" spans="12:12" x14ac:dyDescent="0.2">
      <c r="L258" s="9" t="s">
        <v>598</v>
      </c>
    </row>
    <row r="259" spans="12:12" x14ac:dyDescent="0.2">
      <c r="L259" s="9" t="s">
        <v>599</v>
      </c>
    </row>
    <row r="260" spans="12:12" x14ac:dyDescent="0.2">
      <c r="L260" s="9" t="s">
        <v>600</v>
      </c>
    </row>
    <row r="261" spans="12:12" x14ac:dyDescent="0.2">
      <c r="L261" s="9" t="s">
        <v>601</v>
      </c>
    </row>
    <row r="262" spans="12:12" x14ac:dyDescent="0.2">
      <c r="L262" s="9" t="s">
        <v>602</v>
      </c>
    </row>
    <row r="263" spans="12:12" x14ac:dyDescent="0.2">
      <c r="L263" s="9" t="s">
        <v>603</v>
      </c>
    </row>
    <row r="264" spans="12:12" x14ac:dyDescent="0.2">
      <c r="L264" s="9" t="s">
        <v>604</v>
      </c>
    </row>
    <row r="265" spans="12:12" x14ac:dyDescent="0.2">
      <c r="L265" s="9" t="s">
        <v>605</v>
      </c>
    </row>
    <row r="266" spans="12:12" x14ac:dyDescent="0.2">
      <c r="L266" s="9" t="s">
        <v>606</v>
      </c>
    </row>
    <row r="267" spans="12:12" x14ac:dyDescent="0.2">
      <c r="L267" s="9" t="s">
        <v>607</v>
      </c>
    </row>
    <row r="268" spans="12:12" x14ac:dyDescent="0.2">
      <c r="L268" s="9" t="s">
        <v>608</v>
      </c>
    </row>
    <row r="269" spans="12:12" x14ac:dyDescent="0.2">
      <c r="L269" s="9" t="s">
        <v>609</v>
      </c>
    </row>
    <row r="270" spans="12:12" x14ac:dyDescent="0.2">
      <c r="L270" s="9" t="s">
        <v>610</v>
      </c>
    </row>
    <row r="271" spans="12:12" x14ac:dyDescent="0.2">
      <c r="L271" s="9" t="s">
        <v>611</v>
      </c>
    </row>
    <row r="272" spans="12:12" x14ac:dyDescent="0.2">
      <c r="L272" s="9" t="s">
        <v>612</v>
      </c>
    </row>
    <row r="273" spans="12:12" x14ac:dyDescent="0.2">
      <c r="L273" s="9" t="s">
        <v>613</v>
      </c>
    </row>
    <row r="274" spans="12:12" x14ac:dyDescent="0.2">
      <c r="L274" s="9" t="s">
        <v>614</v>
      </c>
    </row>
    <row r="275" spans="12:12" x14ac:dyDescent="0.2">
      <c r="L275" s="9" t="s">
        <v>333</v>
      </c>
    </row>
    <row r="276" spans="12:12" x14ac:dyDescent="0.2">
      <c r="L276" s="9" t="s">
        <v>615</v>
      </c>
    </row>
    <row r="277" spans="12:12" x14ac:dyDescent="0.2">
      <c r="L277" s="9" t="s">
        <v>616</v>
      </c>
    </row>
    <row r="278" spans="12:12" x14ac:dyDescent="0.2">
      <c r="L278" s="9" t="s">
        <v>617</v>
      </c>
    </row>
    <row r="279" spans="12:12" x14ac:dyDescent="0.2">
      <c r="L279" s="9" t="s">
        <v>618</v>
      </c>
    </row>
    <row r="280" spans="12:12" x14ac:dyDescent="0.2">
      <c r="L280" s="9" t="s">
        <v>619</v>
      </c>
    </row>
    <row r="281" spans="12:12" x14ac:dyDescent="0.2">
      <c r="L281" s="9" t="s">
        <v>620</v>
      </c>
    </row>
    <row r="282" spans="12:12" x14ac:dyDescent="0.2">
      <c r="L282" s="9" t="s">
        <v>620</v>
      </c>
    </row>
    <row r="283" spans="12:12" x14ac:dyDescent="0.2">
      <c r="L283" s="9" t="s">
        <v>621</v>
      </c>
    </row>
    <row r="284" spans="12:12" x14ac:dyDescent="0.2">
      <c r="L284" s="9" t="s">
        <v>622</v>
      </c>
    </row>
    <row r="285" spans="12:12" x14ac:dyDescent="0.2">
      <c r="L285" s="9" t="s">
        <v>623</v>
      </c>
    </row>
    <row r="286" spans="12:12" x14ac:dyDescent="0.2">
      <c r="L286" s="9" t="s">
        <v>624</v>
      </c>
    </row>
    <row r="287" spans="12:12" x14ac:dyDescent="0.2">
      <c r="L287" s="9" t="s">
        <v>625</v>
      </c>
    </row>
    <row r="288" spans="12:12" x14ac:dyDescent="0.2">
      <c r="L288" s="9" t="s">
        <v>626</v>
      </c>
    </row>
    <row r="289" spans="12:12" x14ac:dyDescent="0.2">
      <c r="L289" s="9" t="s">
        <v>627</v>
      </c>
    </row>
    <row r="290" spans="12:12" x14ac:dyDescent="0.2">
      <c r="L290" s="9" t="s">
        <v>628</v>
      </c>
    </row>
    <row r="291" spans="12:12" x14ac:dyDescent="0.2">
      <c r="L291" s="9" t="s">
        <v>629</v>
      </c>
    </row>
    <row r="292" spans="12:12" x14ac:dyDescent="0.2">
      <c r="L292" s="9" t="s">
        <v>630</v>
      </c>
    </row>
    <row r="293" spans="12:12" x14ac:dyDescent="0.2">
      <c r="L293" s="9" t="s">
        <v>631</v>
      </c>
    </row>
    <row r="294" spans="12:12" x14ac:dyDescent="0.2">
      <c r="L294" s="9" t="s">
        <v>632</v>
      </c>
    </row>
    <row r="295" spans="12:12" x14ac:dyDescent="0.2">
      <c r="L295" s="9" t="s">
        <v>633</v>
      </c>
    </row>
    <row r="296" spans="12:12" x14ac:dyDescent="0.2">
      <c r="L296" s="9" t="s">
        <v>633</v>
      </c>
    </row>
    <row r="297" spans="12:12" x14ac:dyDescent="0.2">
      <c r="L297" s="9" t="s">
        <v>634</v>
      </c>
    </row>
    <row r="298" spans="12:12" x14ac:dyDescent="0.2">
      <c r="L298" s="9" t="s">
        <v>635</v>
      </c>
    </row>
    <row r="299" spans="12:12" x14ac:dyDescent="0.2">
      <c r="L299" s="9" t="s">
        <v>636</v>
      </c>
    </row>
    <row r="300" spans="12:12" x14ac:dyDescent="0.2">
      <c r="L300" s="9" t="s">
        <v>637</v>
      </c>
    </row>
    <row r="301" spans="12:12" x14ac:dyDescent="0.2">
      <c r="L301" s="9" t="s">
        <v>637</v>
      </c>
    </row>
    <row r="302" spans="12:12" x14ac:dyDescent="0.2">
      <c r="L302" s="9" t="s">
        <v>637</v>
      </c>
    </row>
    <row r="303" spans="12:12" x14ac:dyDescent="0.2">
      <c r="L303" s="9" t="s">
        <v>638</v>
      </c>
    </row>
    <row r="304" spans="12:12" x14ac:dyDescent="0.2">
      <c r="L304" s="9" t="s">
        <v>639</v>
      </c>
    </row>
    <row r="305" spans="12:12" x14ac:dyDescent="0.2">
      <c r="L305" s="9" t="s">
        <v>640</v>
      </c>
    </row>
    <row r="306" spans="12:12" x14ac:dyDescent="0.2">
      <c r="L306" s="9" t="s">
        <v>641</v>
      </c>
    </row>
    <row r="307" spans="12:12" x14ac:dyDescent="0.2">
      <c r="L307" s="9" t="s">
        <v>642</v>
      </c>
    </row>
    <row r="308" spans="12:12" x14ac:dyDescent="0.2">
      <c r="L308" s="9" t="s">
        <v>643</v>
      </c>
    </row>
    <row r="309" spans="12:12" x14ac:dyDescent="0.2">
      <c r="L309" s="9" t="s">
        <v>644</v>
      </c>
    </row>
    <row r="310" spans="12:12" x14ac:dyDescent="0.2">
      <c r="L310" s="9" t="s">
        <v>645</v>
      </c>
    </row>
    <row r="311" spans="12:12" x14ac:dyDescent="0.2">
      <c r="L311" s="9" t="s">
        <v>646</v>
      </c>
    </row>
    <row r="312" spans="12:12" x14ac:dyDescent="0.2">
      <c r="L312" s="9" t="s">
        <v>647</v>
      </c>
    </row>
    <row r="313" spans="12:12" x14ac:dyDescent="0.2">
      <c r="L313" s="9" t="s">
        <v>648</v>
      </c>
    </row>
    <row r="314" spans="12:12" x14ac:dyDescent="0.2">
      <c r="L314" s="9" t="s">
        <v>649</v>
      </c>
    </row>
    <row r="315" spans="12:12" x14ac:dyDescent="0.2">
      <c r="L315" s="9" t="s">
        <v>650</v>
      </c>
    </row>
    <row r="316" spans="12:12" x14ac:dyDescent="0.2">
      <c r="L316" s="9" t="s">
        <v>651</v>
      </c>
    </row>
    <row r="317" spans="12:12" x14ac:dyDescent="0.2">
      <c r="L317" s="9" t="s">
        <v>652</v>
      </c>
    </row>
    <row r="318" spans="12:12" x14ac:dyDescent="0.2">
      <c r="L318" s="9" t="s">
        <v>653</v>
      </c>
    </row>
    <row r="319" spans="12:12" x14ac:dyDescent="0.2">
      <c r="L319" s="9" t="s">
        <v>654</v>
      </c>
    </row>
    <row r="320" spans="12:12" x14ac:dyDescent="0.2">
      <c r="L320" s="9" t="s">
        <v>655</v>
      </c>
    </row>
    <row r="321" spans="12:12" x14ac:dyDescent="0.2">
      <c r="L321" s="9" t="s">
        <v>655</v>
      </c>
    </row>
    <row r="322" spans="12:12" x14ac:dyDescent="0.2">
      <c r="L322" s="9" t="s">
        <v>656</v>
      </c>
    </row>
    <row r="323" spans="12:12" x14ac:dyDescent="0.2">
      <c r="L323" s="9" t="s">
        <v>657</v>
      </c>
    </row>
    <row r="324" spans="12:12" x14ac:dyDescent="0.2">
      <c r="L324" s="9" t="s">
        <v>658</v>
      </c>
    </row>
    <row r="325" spans="12:12" x14ac:dyDescent="0.2">
      <c r="L325" s="9" t="s">
        <v>658</v>
      </c>
    </row>
    <row r="326" spans="12:12" x14ac:dyDescent="0.2">
      <c r="L326" s="9" t="s">
        <v>659</v>
      </c>
    </row>
    <row r="327" spans="12:12" x14ac:dyDescent="0.2">
      <c r="L327" s="9" t="s">
        <v>124</v>
      </c>
    </row>
    <row r="328" spans="12:12" x14ac:dyDescent="0.2">
      <c r="L328" s="9" t="s">
        <v>660</v>
      </c>
    </row>
    <row r="329" spans="12:12" x14ac:dyDescent="0.2">
      <c r="L329" s="9" t="s">
        <v>661</v>
      </c>
    </row>
    <row r="330" spans="12:12" x14ac:dyDescent="0.2">
      <c r="L330" s="9" t="s">
        <v>662</v>
      </c>
    </row>
    <row r="331" spans="12:12" x14ac:dyDescent="0.2">
      <c r="L331" s="9" t="s">
        <v>663</v>
      </c>
    </row>
    <row r="332" spans="12:12" x14ac:dyDescent="0.2">
      <c r="L332" s="9" t="s">
        <v>664</v>
      </c>
    </row>
    <row r="333" spans="12:12" x14ac:dyDescent="0.2">
      <c r="L333" s="9" t="s">
        <v>665</v>
      </c>
    </row>
    <row r="334" spans="12:12" x14ac:dyDescent="0.2">
      <c r="L334" s="9" t="s">
        <v>666</v>
      </c>
    </row>
    <row r="335" spans="12:12" x14ac:dyDescent="0.2">
      <c r="L335" s="9" t="s">
        <v>666</v>
      </c>
    </row>
    <row r="336" spans="12:12" x14ac:dyDescent="0.2">
      <c r="L336" s="9" t="s">
        <v>666</v>
      </c>
    </row>
    <row r="337" spans="12:12" x14ac:dyDescent="0.2">
      <c r="L337" s="9" t="s">
        <v>666</v>
      </c>
    </row>
    <row r="338" spans="12:12" x14ac:dyDescent="0.2">
      <c r="L338" s="9" t="s">
        <v>667</v>
      </c>
    </row>
    <row r="339" spans="12:12" x14ac:dyDescent="0.2">
      <c r="L339" s="9" t="s">
        <v>668</v>
      </c>
    </row>
    <row r="340" spans="12:12" x14ac:dyDescent="0.2">
      <c r="L340" s="9" t="s">
        <v>669</v>
      </c>
    </row>
    <row r="341" spans="12:12" x14ac:dyDescent="0.2">
      <c r="L341" s="9" t="s">
        <v>670</v>
      </c>
    </row>
    <row r="342" spans="12:12" x14ac:dyDescent="0.2">
      <c r="L342" s="9" t="s">
        <v>671</v>
      </c>
    </row>
    <row r="343" spans="12:12" x14ac:dyDescent="0.2">
      <c r="L343" s="9" t="s">
        <v>671</v>
      </c>
    </row>
    <row r="344" spans="12:12" x14ac:dyDescent="0.2">
      <c r="L344" s="9" t="s">
        <v>672</v>
      </c>
    </row>
    <row r="345" spans="12:12" x14ac:dyDescent="0.2">
      <c r="L345" s="9" t="s">
        <v>342</v>
      </c>
    </row>
    <row r="346" spans="12:12" x14ac:dyDescent="0.2">
      <c r="L346" s="9" t="s">
        <v>673</v>
      </c>
    </row>
    <row r="347" spans="12:12" x14ac:dyDescent="0.2">
      <c r="L347" s="9" t="s">
        <v>674</v>
      </c>
    </row>
    <row r="348" spans="12:12" x14ac:dyDescent="0.2">
      <c r="L348" s="9" t="s">
        <v>675</v>
      </c>
    </row>
    <row r="349" spans="12:12" x14ac:dyDescent="0.2">
      <c r="L349" s="9" t="s">
        <v>676</v>
      </c>
    </row>
    <row r="350" spans="12:12" x14ac:dyDescent="0.2">
      <c r="L350" s="9" t="s">
        <v>677</v>
      </c>
    </row>
    <row r="351" spans="12:12" x14ac:dyDescent="0.2">
      <c r="L351" s="9" t="s">
        <v>678</v>
      </c>
    </row>
    <row r="352" spans="12:12" x14ac:dyDescent="0.2">
      <c r="L352" s="9" t="s">
        <v>679</v>
      </c>
    </row>
    <row r="353" spans="12:12" x14ac:dyDescent="0.2">
      <c r="L353" s="9" t="s">
        <v>680</v>
      </c>
    </row>
    <row r="354" spans="12:12" x14ac:dyDescent="0.2">
      <c r="L354" s="9" t="s">
        <v>681</v>
      </c>
    </row>
    <row r="355" spans="12:12" x14ac:dyDescent="0.2">
      <c r="L355" s="9" t="s">
        <v>682</v>
      </c>
    </row>
    <row r="356" spans="12:12" x14ac:dyDescent="0.2">
      <c r="L356" s="9" t="s">
        <v>683</v>
      </c>
    </row>
    <row r="357" spans="12:12" x14ac:dyDescent="0.2">
      <c r="L357" s="9" t="s">
        <v>684</v>
      </c>
    </row>
    <row r="358" spans="12:12" x14ac:dyDescent="0.2">
      <c r="L358" s="9" t="s">
        <v>685</v>
      </c>
    </row>
    <row r="359" spans="12:12" x14ac:dyDescent="0.2">
      <c r="L359" s="9" t="s">
        <v>686</v>
      </c>
    </row>
    <row r="360" spans="12:12" x14ac:dyDescent="0.2">
      <c r="L360" s="9" t="s">
        <v>687</v>
      </c>
    </row>
    <row r="361" spans="12:12" x14ac:dyDescent="0.2">
      <c r="L361" s="9" t="s">
        <v>688</v>
      </c>
    </row>
    <row r="362" spans="12:12" x14ac:dyDescent="0.2">
      <c r="L362" s="9" t="s">
        <v>689</v>
      </c>
    </row>
    <row r="363" spans="12:12" x14ac:dyDescent="0.2">
      <c r="L363" s="9" t="s">
        <v>690</v>
      </c>
    </row>
    <row r="364" spans="12:12" x14ac:dyDescent="0.2">
      <c r="L364" s="9" t="s">
        <v>691</v>
      </c>
    </row>
    <row r="365" spans="12:12" x14ac:dyDescent="0.2">
      <c r="L365" s="9" t="s">
        <v>692</v>
      </c>
    </row>
    <row r="366" spans="12:12" x14ac:dyDescent="0.2">
      <c r="L366" s="9" t="s">
        <v>693</v>
      </c>
    </row>
    <row r="367" spans="12:12" x14ac:dyDescent="0.2">
      <c r="L367" s="9" t="s">
        <v>694</v>
      </c>
    </row>
    <row r="368" spans="12:12" x14ac:dyDescent="0.2">
      <c r="L368" s="9" t="s">
        <v>695</v>
      </c>
    </row>
    <row r="369" spans="12:12" x14ac:dyDescent="0.2">
      <c r="L369" s="9" t="s">
        <v>696</v>
      </c>
    </row>
    <row r="370" spans="12:12" x14ac:dyDescent="0.2">
      <c r="L370" s="9" t="s">
        <v>697</v>
      </c>
    </row>
    <row r="371" spans="12:12" x14ac:dyDescent="0.2">
      <c r="L371" s="9" t="s">
        <v>698</v>
      </c>
    </row>
    <row r="372" spans="12:12" x14ac:dyDescent="0.2">
      <c r="L372" s="9" t="s">
        <v>699</v>
      </c>
    </row>
    <row r="373" spans="12:12" x14ac:dyDescent="0.2">
      <c r="L373" s="9" t="s">
        <v>700</v>
      </c>
    </row>
    <row r="374" spans="12:12" x14ac:dyDescent="0.2">
      <c r="L374" s="9" t="s">
        <v>112</v>
      </c>
    </row>
    <row r="375" spans="12:12" x14ac:dyDescent="0.2">
      <c r="L375" s="9" t="s">
        <v>701</v>
      </c>
    </row>
    <row r="376" spans="12:12" x14ac:dyDescent="0.2">
      <c r="L376" s="9" t="s">
        <v>702</v>
      </c>
    </row>
    <row r="377" spans="12:12" x14ac:dyDescent="0.2">
      <c r="L377" s="9" t="s">
        <v>703</v>
      </c>
    </row>
    <row r="378" spans="12:12" x14ac:dyDescent="0.2">
      <c r="L378" s="9" t="s">
        <v>704</v>
      </c>
    </row>
    <row r="379" spans="12:12" x14ac:dyDescent="0.2">
      <c r="L379" s="9" t="s">
        <v>705</v>
      </c>
    </row>
    <row r="380" spans="12:12" x14ac:dyDescent="0.2">
      <c r="L380" s="9" t="s">
        <v>706</v>
      </c>
    </row>
    <row r="381" spans="12:12" x14ac:dyDescent="0.2">
      <c r="L381" s="9" t="s">
        <v>707</v>
      </c>
    </row>
    <row r="382" spans="12:12" x14ac:dyDescent="0.2">
      <c r="L382" s="9" t="s">
        <v>708</v>
      </c>
    </row>
    <row r="383" spans="12:12" x14ac:dyDescent="0.2">
      <c r="L383" s="9" t="s">
        <v>709</v>
      </c>
    </row>
    <row r="384" spans="12:12" x14ac:dyDescent="0.2">
      <c r="L384" s="9" t="s">
        <v>710</v>
      </c>
    </row>
    <row r="385" spans="12:12" x14ac:dyDescent="0.2">
      <c r="L385" s="9" t="s">
        <v>711</v>
      </c>
    </row>
    <row r="386" spans="12:12" x14ac:dyDescent="0.2">
      <c r="L386" s="9" t="s">
        <v>712</v>
      </c>
    </row>
    <row r="387" spans="12:12" x14ac:dyDescent="0.2">
      <c r="L387" s="9" t="s">
        <v>713</v>
      </c>
    </row>
    <row r="388" spans="12:12" x14ac:dyDescent="0.2">
      <c r="L388" s="9" t="s">
        <v>714</v>
      </c>
    </row>
    <row r="389" spans="12:12" x14ac:dyDescent="0.2">
      <c r="L389" s="9" t="s">
        <v>715</v>
      </c>
    </row>
    <row r="390" spans="12:12" x14ac:dyDescent="0.2">
      <c r="L390" s="9" t="s">
        <v>716</v>
      </c>
    </row>
    <row r="391" spans="12:12" x14ac:dyDescent="0.2">
      <c r="L391" s="9" t="s">
        <v>717</v>
      </c>
    </row>
    <row r="392" spans="12:12" x14ac:dyDescent="0.2">
      <c r="L392" s="9" t="s">
        <v>718</v>
      </c>
    </row>
    <row r="393" spans="12:12" x14ac:dyDescent="0.2">
      <c r="L393" s="9" t="s">
        <v>719</v>
      </c>
    </row>
    <row r="394" spans="12:12" x14ac:dyDescent="0.2">
      <c r="L394" s="9" t="s">
        <v>720</v>
      </c>
    </row>
    <row r="395" spans="12:12" x14ac:dyDescent="0.2">
      <c r="L395" s="9" t="s">
        <v>721</v>
      </c>
    </row>
    <row r="396" spans="12:12" x14ac:dyDescent="0.2">
      <c r="L396" s="9" t="s">
        <v>722</v>
      </c>
    </row>
    <row r="397" spans="12:12" x14ac:dyDescent="0.2">
      <c r="L397" s="9" t="s">
        <v>723</v>
      </c>
    </row>
    <row r="398" spans="12:12" x14ac:dyDescent="0.2">
      <c r="L398" s="9" t="s">
        <v>724</v>
      </c>
    </row>
    <row r="399" spans="12:12" x14ac:dyDescent="0.2">
      <c r="L399" s="9" t="s">
        <v>725</v>
      </c>
    </row>
    <row r="400" spans="12:12" x14ac:dyDescent="0.2">
      <c r="L400" s="9" t="s">
        <v>726</v>
      </c>
    </row>
    <row r="401" spans="12:12" x14ac:dyDescent="0.2">
      <c r="L401" s="9" t="s">
        <v>727</v>
      </c>
    </row>
    <row r="402" spans="12:12" x14ac:dyDescent="0.2">
      <c r="L402" s="9" t="s">
        <v>728</v>
      </c>
    </row>
    <row r="403" spans="12:12" x14ac:dyDescent="0.2">
      <c r="L403" s="9" t="s">
        <v>729</v>
      </c>
    </row>
    <row r="404" spans="12:12" x14ac:dyDescent="0.2">
      <c r="L404" s="9" t="s">
        <v>730</v>
      </c>
    </row>
    <row r="405" spans="12:12" x14ac:dyDescent="0.2">
      <c r="L405" s="9" t="s">
        <v>731</v>
      </c>
    </row>
    <row r="406" spans="12:12" x14ac:dyDescent="0.2">
      <c r="L406" s="9" t="s">
        <v>732</v>
      </c>
    </row>
    <row r="407" spans="12:12" x14ac:dyDescent="0.2">
      <c r="L407" s="9" t="s">
        <v>733</v>
      </c>
    </row>
    <row r="408" spans="12:12" x14ac:dyDescent="0.2">
      <c r="L408" s="9" t="s">
        <v>734</v>
      </c>
    </row>
    <row r="409" spans="12:12" x14ac:dyDescent="0.2">
      <c r="L409" s="9" t="s">
        <v>735</v>
      </c>
    </row>
    <row r="410" spans="12:12" x14ac:dyDescent="0.2">
      <c r="L410" s="9" t="s">
        <v>736</v>
      </c>
    </row>
    <row r="411" spans="12:12" x14ac:dyDescent="0.2">
      <c r="L411" s="9" t="s">
        <v>737</v>
      </c>
    </row>
    <row r="412" spans="12:12" x14ac:dyDescent="0.2">
      <c r="L412" s="9" t="s">
        <v>738</v>
      </c>
    </row>
    <row r="413" spans="12:12" x14ac:dyDescent="0.2">
      <c r="L413" s="9" t="s">
        <v>739</v>
      </c>
    </row>
    <row r="414" spans="12:12" x14ac:dyDescent="0.2">
      <c r="L414" s="9" t="s">
        <v>740</v>
      </c>
    </row>
    <row r="415" spans="12:12" x14ac:dyDescent="0.2">
      <c r="L415" s="9" t="s">
        <v>741</v>
      </c>
    </row>
    <row r="416" spans="12:12" x14ac:dyDescent="0.2">
      <c r="L416" s="9" t="s">
        <v>742</v>
      </c>
    </row>
    <row r="417" spans="12:12" x14ac:dyDescent="0.2">
      <c r="L417" s="9" t="s">
        <v>743</v>
      </c>
    </row>
    <row r="418" spans="12:12" x14ac:dyDescent="0.2">
      <c r="L418" s="9" t="s">
        <v>744</v>
      </c>
    </row>
    <row r="419" spans="12:12" x14ac:dyDescent="0.2">
      <c r="L419" s="9" t="s">
        <v>745</v>
      </c>
    </row>
    <row r="420" spans="12:12" x14ac:dyDescent="0.2">
      <c r="L420" s="9" t="s">
        <v>746</v>
      </c>
    </row>
    <row r="421" spans="12:12" x14ac:dyDescent="0.2">
      <c r="L421" s="9" t="s">
        <v>747</v>
      </c>
    </row>
    <row r="422" spans="12:12" x14ac:dyDescent="0.2">
      <c r="L422" s="9" t="s">
        <v>748</v>
      </c>
    </row>
    <row r="423" spans="12:12" x14ac:dyDescent="0.2">
      <c r="L423" s="9" t="s">
        <v>749</v>
      </c>
    </row>
    <row r="424" spans="12:12" x14ac:dyDescent="0.2">
      <c r="L424" s="9" t="s">
        <v>750</v>
      </c>
    </row>
    <row r="425" spans="12:12" x14ac:dyDescent="0.2">
      <c r="L425" s="9" t="s">
        <v>751</v>
      </c>
    </row>
    <row r="426" spans="12:12" x14ac:dyDescent="0.2">
      <c r="L426" s="9" t="s">
        <v>752</v>
      </c>
    </row>
    <row r="427" spans="12:12" x14ac:dyDescent="0.2">
      <c r="L427" s="9" t="s">
        <v>753</v>
      </c>
    </row>
    <row r="428" spans="12:12" x14ac:dyDescent="0.2">
      <c r="L428" s="9" t="s">
        <v>754</v>
      </c>
    </row>
    <row r="429" spans="12:12" x14ac:dyDescent="0.2">
      <c r="L429" s="9" t="s">
        <v>755</v>
      </c>
    </row>
    <row r="430" spans="12:12" x14ac:dyDescent="0.2">
      <c r="L430" s="9" t="s">
        <v>756</v>
      </c>
    </row>
    <row r="431" spans="12:12" x14ac:dyDescent="0.2">
      <c r="L431" s="9" t="s">
        <v>757</v>
      </c>
    </row>
    <row r="432" spans="12:12" x14ac:dyDescent="0.2">
      <c r="L432" s="9" t="s">
        <v>758</v>
      </c>
    </row>
    <row r="433" spans="12:12" x14ac:dyDescent="0.2">
      <c r="L433" s="9" t="s">
        <v>759</v>
      </c>
    </row>
    <row r="434" spans="12:12" x14ac:dyDescent="0.2">
      <c r="L434" s="9" t="s">
        <v>375</v>
      </c>
    </row>
    <row r="435" spans="12:12" x14ac:dyDescent="0.2">
      <c r="L435" s="9" t="s">
        <v>760</v>
      </c>
    </row>
    <row r="436" spans="12:12" x14ac:dyDescent="0.2">
      <c r="L436" s="9" t="s">
        <v>761</v>
      </c>
    </row>
    <row r="437" spans="12:12" x14ac:dyDescent="0.2">
      <c r="L437" s="9" t="s">
        <v>762</v>
      </c>
    </row>
    <row r="438" spans="12:12" x14ac:dyDescent="0.2">
      <c r="L438" s="9" t="s">
        <v>763</v>
      </c>
    </row>
    <row r="439" spans="12:12" x14ac:dyDescent="0.2">
      <c r="L439" s="9" t="s">
        <v>764</v>
      </c>
    </row>
    <row r="440" spans="12:12" x14ac:dyDescent="0.2">
      <c r="L440" s="9" t="s">
        <v>765</v>
      </c>
    </row>
    <row r="441" spans="12:12" x14ac:dyDescent="0.2">
      <c r="L441" s="9" t="s">
        <v>766</v>
      </c>
    </row>
    <row r="442" spans="12:12" x14ac:dyDescent="0.2">
      <c r="L442" s="9" t="s">
        <v>767</v>
      </c>
    </row>
    <row r="443" spans="12:12" x14ac:dyDescent="0.2">
      <c r="L443" s="9" t="s">
        <v>768</v>
      </c>
    </row>
    <row r="444" spans="12:12" x14ac:dyDescent="0.2">
      <c r="L444" s="9" t="s">
        <v>769</v>
      </c>
    </row>
    <row r="445" spans="12:12" x14ac:dyDescent="0.2">
      <c r="L445" s="9" t="s">
        <v>770</v>
      </c>
    </row>
    <row r="446" spans="12:12" x14ac:dyDescent="0.2">
      <c r="L446" s="9" t="s">
        <v>771</v>
      </c>
    </row>
    <row r="447" spans="12:12" x14ac:dyDescent="0.2">
      <c r="L447" s="9" t="s">
        <v>772</v>
      </c>
    </row>
    <row r="448" spans="12:12" x14ac:dyDescent="0.2">
      <c r="L448" s="9" t="s">
        <v>773</v>
      </c>
    </row>
    <row r="449" spans="12:12" x14ac:dyDescent="0.2">
      <c r="L449" s="9" t="s">
        <v>774</v>
      </c>
    </row>
    <row r="450" spans="12:12" x14ac:dyDescent="0.2">
      <c r="L450" s="9" t="s">
        <v>775</v>
      </c>
    </row>
    <row r="451" spans="12:12" x14ac:dyDescent="0.2">
      <c r="L451" s="9" t="s">
        <v>776</v>
      </c>
    </row>
    <row r="452" spans="12:12" x14ac:dyDescent="0.2">
      <c r="L452" s="9" t="s">
        <v>777</v>
      </c>
    </row>
    <row r="453" spans="12:12" x14ac:dyDescent="0.2">
      <c r="L453" s="9" t="s">
        <v>778</v>
      </c>
    </row>
    <row r="454" spans="12:12" x14ac:dyDescent="0.2">
      <c r="L454" s="9" t="s">
        <v>110</v>
      </c>
    </row>
    <row r="455" spans="12:12" x14ac:dyDescent="0.2">
      <c r="L455" s="9" t="s">
        <v>779</v>
      </c>
    </row>
    <row r="456" spans="12:12" x14ac:dyDescent="0.2">
      <c r="L456" s="9" t="s">
        <v>780</v>
      </c>
    </row>
    <row r="457" spans="12:12" x14ac:dyDescent="0.2">
      <c r="L457" s="9" t="s">
        <v>781</v>
      </c>
    </row>
    <row r="458" spans="12:12" x14ac:dyDescent="0.2">
      <c r="L458" s="9" t="s">
        <v>782</v>
      </c>
    </row>
    <row r="459" spans="12:12" x14ac:dyDescent="0.2">
      <c r="L459" s="9" t="s">
        <v>783</v>
      </c>
    </row>
    <row r="460" spans="12:12" x14ac:dyDescent="0.2">
      <c r="L460" s="9" t="s">
        <v>381</v>
      </c>
    </row>
    <row r="461" spans="12:12" x14ac:dyDescent="0.2">
      <c r="L461" s="9" t="s">
        <v>384</v>
      </c>
    </row>
    <row r="462" spans="12:12" x14ac:dyDescent="0.2">
      <c r="L462" s="9" t="s">
        <v>784</v>
      </c>
    </row>
    <row r="463" spans="12:12" x14ac:dyDescent="0.2">
      <c r="L463" s="9" t="s">
        <v>785</v>
      </c>
    </row>
    <row r="464" spans="12:12" x14ac:dyDescent="0.2">
      <c r="L464" s="9" t="s">
        <v>786</v>
      </c>
    </row>
    <row r="465" spans="12:12" x14ac:dyDescent="0.2">
      <c r="L465" s="9" t="s">
        <v>787</v>
      </c>
    </row>
    <row r="466" spans="12:12" x14ac:dyDescent="0.2">
      <c r="L466" s="9" t="s">
        <v>788</v>
      </c>
    </row>
    <row r="467" spans="12:12" x14ac:dyDescent="0.2">
      <c r="L467" s="9" t="s">
        <v>789</v>
      </c>
    </row>
    <row r="468" spans="12:12" x14ac:dyDescent="0.2">
      <c r="L468" s="9" t="s">
        <v>790</v>
      </c>
    </row>
    <row r="469" spans="12:12" x14ac:dyDescent="0.2">
      <c r="L469" s="9" t="s">
        <v>791</v>
      </c>
    </row>
    <row r="470" spans="12:12" x14ac:dyDescent="0.2">
      <c r="L470" s="9" t="s">
        <v>792</v>
      </c>
    </row>
    <row r="471" spans="12:12" x14ac:dyDescent="0.2">
      <c r="L471" s="9" t="s">
        <v>793</v>
      </c>
    </row>
    <row r="472" spans="12:12" x14ac:dyDescent="0.2">
      <c r="L472" s="9" t="s">
        <v>794</v>
      </c>
    </row>
    <row r="473" spans="12:12" x14ac:dyDescent="0.2">
      <c r="L473" s="9" t="s">
        <v>795</v>
      </c>
    </row>
    <row r="474" spans="12:12" x14ac:dyDescent="0.2">
      <c r="L474" s="9" t="s">
        <v>796</v>
      </c>
    </row>
    <row r="475" spans="12:12" x14ac:dyDescent="0.2">
      <c r="L475" s="9" t="s">
        <v>797</v>
      </c>
    </row>
    <row r="476" spans="12:12" x14ac:dyDescent="0.2">
      <c r="L476" s="9" t="s">
        <v>798</v>
      </c>
    </row>
    <row r="477" spans="12:12" x14ac:dyDescent="0.2">
      <c r="L477" s="9" t="s">
        <v>799</v>
      </c>
    </row>
    <row r="478" spans="12:12" x14ac:dyDescent="0.2">
      <c r="L478" s="9" t="s">
        <v>800</v>
      </c>
    </row>
    <row r="479" spans="12:12" x14ac:dyDescent="0.2">
      <c r="L479" s="9" t="s">
        <v>801</v>
      </c>
    </row>
    <row r="480" spans="12:12" x14ac:dyDescent="0.2">
      <c r="L480" s="9" t="s">
        <v>802</v>
      </c>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010BCB8FDA3789478577C31581FA3B2F" ma:contentTypeVersion="14" ma:contentTypeDescription="Opret et nyt dokument." ma:contentTypeScope="" ma:versionID="dbe274e19edd2862f4257cb5a3d65833">
  <xsd:schema xmlns:xsd="http://www.w3.org/2001/XMLSchema" xmlns:xs="http://www.w3.org/2001/XMLSchema" xmlns:p="http://schemas.microsoft.com/office/2006/metadata/properties" xmlns:ns2="0cd6032e-4b27-47f4-bb02-403eeb79ffb0" xmlns:ns3="51017e06-3185-4484-8ddc-2b23098c8f10" targetNamespace="http://schemas.microsoft.com/office/2006/metadata/properties" ma:root="true" ma:fieldsID="8a594d2197080b0687313b9717b0496b" ns2:_="" ns3:_="">
    <xsd:import namespace="0cd6032e-4b27-47f4-bb02-403eeb79ffb0"/>
    <xsd:import namespace="51017e06-3185-4484-8ddc-2b23098c8f10"/>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3:TaxCatchAll" minOccurs="0"/>
                <xsd:element ref="ns2:MediaServiceOCR" minOccurs="0"/>
                <xsd:element ref="ns2:MediaServiceGenerationTime" minOccurs="0"/>
                <xsd:element ref="ns2:MediaServiceEventHashCode" minOccurs="0"/>
                <xsd:element ref="ns2:lcf76f155ced4ddcb4097134ff3c332f" minOccurs="0"/>
                <xsd:element ref="ns2:MediaServiceDateTaken"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d6032e-4b27-47f4-bb02-403eeb79ff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Billedmærker" ma:readOnly="false" ma:fieldId="{5cf76f15-5ced-4ddc-b409-7134ff3c332f}" ma:taxonomyMulti="true" ma:sspId="5cd08861-88c0-49b2-8510-903f698cfa78" ma:termSetId="09814cd3-568e-fe90-9814-8d621ff8fb84" ma:anchorId="fba54fb3-c3e1-fe81-a776-ca4b69148c4d" ma:open="true" ma:isKeyword="false">
      <xsd:complexType>
        <xsd:sequence>
          <xsd:element ref="pc:Terms" minOccurs="0" maxOccurs="1"/>
        </xsd:sequence>
      </xsd:complexType>
    </xsd:element>
    <xsd:element name="MediaServiceDateTaken" ma:index="18" nillable="true" ma:displayName="MediaServiceDateTaken" ma:description="" ma:hidden="true" ma:indexed="true" ma:internalName="MediaServiceDateTaken" ma:readOnly="true">
      <xsd:simpleType>
        <xsd:restriction base="dms:Text"/>
      </xsd:simpleType>
    </xsd:element>
    <xsd:element name="MediaServiceObjectDetectorVersions" ma:index="19"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1017e06-3185-4484-8ddc-2b23098c8f10" elementFormDefault="qualified">
    <xsd:import namespace="http://schemas.microsoft.com/office/2006/documentManagement/types"/>
    <xsd:import namespace="http://schemas.microsoft.com/office/infopath/2007/PartnerControls"/>
    <xsd:element name="SharedWithUsers" ma:index="10"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lt med detaljer" ma:internalName="SharedWithDetails" ma:readOnly="true">
      <xsd:simpleType>
        <xsd:restriction base="dms:Note">
          <xsd:maxLength value="255"/>
        </xsd:restriction>
      </xsd:simpleType>
    </xsd:element>
    <xsd:element name="TaxCatchAll" ma:index="12" nillable="true" ma:displayName="Taxonomy Catch All Column" ma:hidden="true" ma:list="{650218f9-5b5b-44c9-a5a4-b251f80673b8}" ma:internalName="TaxCatchAll" ma:showField="CatchAllData" ma:web="51017e06-3185-4484-8ddc-2b23098c8f1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51017e06-3185-4484-8ddc-2b23098c8f10" xsi:nil="true"/>
    <lcf76f155ced4ddcb4097134ff3c332f xmlns="0cd6032e-4b27-47f4-bb02-403eeb79ffb0">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F53DD3B0-67C1-41FF-9EA9-F54E589062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d6032e-4b27-47f4-bb02-403eeb79ffb0"/>
    <ds:schemaRef ds:uri="51017e06-3185-4484-8ddc-2b23098c8f1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6BD88D8-3F70-426F-869D-2E517E14A95A}">
  <ds:schemaRefs>
    <ds:schemaRef ds:uri="http://schemas.microsoft.com/sharepoint/v3/contenttype/forms"/>
  </ds:schemaRefs>
</ds:datastoreItem>
</file>

<file path=customXml/itemProps3.xml><?xml version="1.0" encoding="utf-8"?>
<ds:datastoreItem xmlns:ds="http://schemas.openxmlformats.org/officeDocument/2006/customXml" ds:itemID="{4196CA68-E26F-488C-876B-A197EF53F452}">
  <ds:schemaRefs>
    <ds:schemaRef ds:uri="http://schemas.microsoft.com/office/2006/metadata/properties"/>
    <ds:schemaRef ds:uri="http://schemas.microsoft.com/office/infopath/2007/PartnerControls"/>
    <ds:schemaRef ds:uri="51017e06-3185-4484-8ddc-2b23098c8f10"/>
    <ds:schemaRef ds:uri="0cd6032e-4b27-47f4-bb02-403eeb79ffb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defaults</vt:lpstr>
      <vt:lpstr>in-barn</vt:lpstr>
      <vt:lpstr>out-of-barn</vt:lpstr>
      <vt:lpstr>outside temp</vt:lpstr>
      <vt:lpstr>parms_list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Frederik Rask Dalby</dc:creator>
  <cp:keywords/>
  <dc:description/>
  <cp:lastModifiedBy>Frederik Rask Dalby</cp:lastModifiedBy>
  <cp:revision/>
  <dcterms:created xsi:type="dcterms:W3CDTF">2021-09-03T12:35:57Z</dcterms:created>
  <dcterms:modified xsi:type="dcterms:W3CDTF">2024-11-26T14:16:43Z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0x010100010BCB8FDA3789478577C31581FA3B2F</vt:lpwstr>
  </property>
  <property fmtid="{D5CDD505-2E9C-101B-9397-08002B2CF9AE}" pid="3" name="MediaServiceImageTags">
    <vt:lpwstr/>
  </property>
</Properties>
</file>